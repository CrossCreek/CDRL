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2.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16.xml" ContentType="application/vnd.ms-excel.controlproperties+xml"/>
  <Override PartName="/xl/pivotTables/pivotTable7.xml" ContentType="application/vnd.openxmlformats-officedocument.spreadsheetml.pivotTable+xml"/>
  <Override PartName="/xl/drawings/drawing5.xml" ContentType="application/vnd.openxmlformats-officedocument.drawing+xml"/>
  <Override PartName="/xl/ctrlProps/ctrlProp17.xml" ContentType="application/vnd.ms-excel.controlproperties+xml"/>
  <Override PartName="/xl/slicers/slicer1.xml" ContentType="application/vnd.ms-excel.slicer+xml"/>
  <Override PartName="/xl/drawings/drawing6.xml" ContentType="application/vnd.openxmlformats-officedocument.drawing+xml"/>
  <Override PartName="/xl/ctrlProps/ctrlProp1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CDRL_tool_work_area\CDRL_01292021\"/>
    </mc:Choice>
  </mc:AlternateContent>
  <bookViews>
    <workbookView xWindow="0" yWindow="300" windowWidth="23460" windowHeight="10425" tabRatio="780" activeTab="1"/>
  </bookViews>
  <sheets>
    <sheet name="DashBrd" sheetId="2" r:id="rId1"/>
    <sheet name="Tracking-R1" sheetId="1" r:id="rId2"/>
    <sheet name="RvwrAsgnmnts" sheetId="3" r:id="rId3"/>
    <sheet name="MetricsPvt" sheetId="4" r:id="rId4"/>
    <sheet name="ReportPvt" sheetId="5" r:id="rId5"/>
    <sheet name="DatVal" sheetId="6" r:id="rId6"/>
    <sheet name="EmailDeflts" sheetId="7" r:id="rId7"/>
    <sheet name="LookUps" sheetId="8" r:id="rId8"/>
    <sheet name="DateCalc" sheetId="9" r:id="rId9"/>
    <sheet name="FormulaRefs" sheetId="10" r:id="rId10"/>
    <sheet name="FileProtect" sheetId="11" r:id="rId11"/>
    <sheet name="Backup Records" sheetId="12" r:id="rId12"/>
    <sheet name="RevTracking" sheetId="13" r:id="rId13"/>
    <sheet name="Changes From Hi-side" sheetId="14" r:id="rId14"/>
  </sheets>
  <functionGroups builtInGroupCount="18"/>
  <definedNames>
    <definedName name="EmailBodyText_DispoEmail_APRVD">EmailDeflts!$F$47</definedName>
    <definedName name="EmailBodyText_DispoEmail_Aprvd_UNxt">EmailDeflts!$F$82</definedName>
    <definedName name="EmailBodyText_DispoEmail_Aprvd_UReqd">EmailDeflts!$F$64</definedName>
    <definedName name="EmailBodyText_DispoEmail_RJCTDCmnts">EmailDeflts!$F$99</definedName>
    <definedName name="EmailBodyText_DispoEmail_Rvwd">EmailDeflts!$F$117</definedName>
    <definedName name="EmailBodyText_IntRvw">EmailDeflts!$F$28</definedName>
    <definedName name="_xlnm.Print_Area" localSheetId="0">DashBrd!$A$1:$J$20</definedName>
    <definedName name="Slicer_Applicable_To">#N/A</definedName>
    <definedName name="Slicer_COTR_Decision___Outcome">#N/A</definedName>
    <definedName name="Slicer_KTR">#N/A</definedName>
    <definedName name="Slicer_KTR_OnTime_Late">#N/A</definedName>
    <definedName name="Slicer_State">#N/A</definedName>
  </definedNames>
  <calcPr calcId="162913"/>
  <pivotCaches>
    <pivotCache cacheId="17" r:id="rId15"/>
    <pivotCache cacheId="76" r:id="rId16"/>
    <pivotCache cacheId="41" r:id="rId17"/>
    <pivotCache cacheId="52" r:id="rId18"/>
    <pivotCache cacheId="65" r:id="rId19"/>
    <pivotCache cacheId="69" r:id="rId20"/>
    <pivotCache cacheId="74" r:id="rId21"/>
  </pivotCaches>
  <extLst>
    <ext xmlns:x14="http://schemas.microsoft.com/office/spreadsheetml/2009/9/main" uri="{BBE1A952-AA13-448e-AADC-164F8A28A991}">
      <x14:slicerCaches>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9" i="1" l="1"/>
  <c r="J23" i="1" l="1"/>
  <c r="Y23" i="1" s="1"/>
  <c r="L23" i="1"/>
  <c r="Q23" i="1"/>
  <c r="S23" i="1"/>
  <c r="J21" i="1"/>
  <c r="Y21" i="1" s="1"/>
  <c r="L21" i="1"/>
  <c r="Q21" i="1"/>
  <c r="S21" i="1"/>
  <c r="I29" i="9" l="1"/>
  <c r="I39" i="9"/>
  <c r="I38" i="9"/>
  <c r="I49" i="9"/>
  <c r="I59" i="9"/>
  <c r="I69" i="9"/>
  <c r="I79" i="9"/>
  <c r="I80" i="9"/>
  <c r="I70" i="9"/>
  <c r="I60" i="9"/>
  <c r="I50" i="9"/>
  <c r="I40" i="9"/>
  <c r="I30" i="9"/>
  <c r="I71" i="9"/>
  <c r="I51" i="9"/>
  <c r="I61" i="9"/>
  <c r="I41" i="9"/>
  <c r="I31" i="9"/>
  <c r="I81" i="9"/>
  <c r="I78" i="9"/>
  <c r="I68" i="9"/>
  <c r="I58" i="9"/>
  <c r="I48" i="9"/>
  <c r="I28" i="9"/>
  <c r="I72" i="9"/>
  <c r="I52" i="9"/>
  <c r="I32" i="9"/>
  <c r="I82" i="9"/>
  <c r="I62" i="9"/>
  <c r="I42" i="9"/>
  <c r="I76" i="9"/>
  <c r="I66" i="9"/>
  <c r="I56" i="9"/>
  <c r="I46" i="9"/>
  <c r="I36" i="9"/>
  <c r="I26" i="9"/>
  <c r="I75" i="9"/>
  <c r="I65" i="9"/>
  <c r="I55" i="9"/>
  <c r="I45" i="9"/>
  <c r="I35" i="9"/>
  <c r="I25" i="9"/>
  <c r="I74" i="9"/>
  <c r="I64" i="9"/>
  <c r="I54" i="9"/>
  <c r="I44" i="9"/>
  <c r="I34" i="9"/>
  <c r="I24" i="9"/>
  <c r="I77" i="9"/>
  <c r="I67" i="9"/>
  <c r="I57" i="9"/>
  <c r="I47" i="9"/>
  <c r="I37" i="9"/>
  <c r="I27" i="9"/>
  <c r="I73" i="9"/>
  <c r="I53" i="9"/>
  <c r="I63" i="9"/>
  <c r="I43" i="9"/>
  <c r="I33" i="9"/>
  <c r="I23" i="9"/>
  <c r="I21" i="9"/>
  <c r="I20" i="9"/>
  <c r="I19" i="9"/>
  <c r="I18" i="9"/>
  <c r="I22" i="9"/>
  <c r="G83" i="8" l="1"/>
  <c r="G84" i="8"/>
  <c r="G85" i="8"/>
  <c r="G86" i="8"/>
  <c r="G87" i="8"/>
  <c r="G88" i="8"/>
  <c r="G89" i="8"/>
  <c r="G90" i="8"/>
  <c r="G91" i="8"/>
  <c r="G92" i="8"/>
  <c r="G93" i="8"/>
  <c r="G94" i="8"/>
  <c r="G95" i="8"/>
  <c r="G96" i="8"/>
  <c r="G97" i="8"/>
  <c r="G98" i="8"/>
  <c r="G99" i="8"/>
  <c r="G100" i="8"/>
  <c r="G78" i="8"/>
  <c r="G79" i="8"/>
  <c r="G80" i="8"/>
  <c r="G81" i="8"/>
  <c r="G82" i="8"/>
  <c r="G77" i="8"/>
  <c r="G63" i="8"/>
  <c r="G64" i="8"/>
  <c r="G65" i="8"/>
  <c r="G66" i="8"/>
  <c r="G67" i="8"/>
  <c r="G68" i="8"/>
  <c r="G69" i="8"/>
  <c r="G70" i="8"/>
  <c r="G71" i="8"/>
  <c r="G72" i="8"/>
  <c r="G73" i="8"/>
  <c r="G74" i="8"/>
  <c r="G75" i="8"/>
  <c r="G76" i="8"/>
  <c r="G62" i="8"/>
  <c r="G50" i="8"/>
  <c r="G51" i="8"/>
  <c r="G52" i="8"/>
  <c r="G53" i="8"/>
  <c r="G54" i="8"/>
  <c r="G55" i="8"/>
  <c r="G56" i="8"/>
  <c r="G57" i="8"/>
  <c r="G58" i="8"/>
  <c r="G59" i="8"/>
  <c r="G60" i="8"/>
  <c r="G61" i="8"/>
  <c r="G44" i="8"/>
  <c r="G45" i="8"/>
  <c r="G46" i="8"/>
  <c r="G47" i="8"/>
  <c r="G48" i="8"/>
  <c r="G49" i="8"/>
  <c r="G42" i="8"/>
  <c r="G43" i="8"/>
  <c r="G39" i="8"/>
  <c r="G40" i="8"/>
  <c r="G41" i="8"/>
  <c r="G35" i="8"/>
  <c r="G36" i="8"/>
  <c r="G37" i="8"/>
  <c r="G38" i="8"/>
  <c r="G34" i="8"/>
  <c r="G33" i="8"/>
  <c r="G32" i="8"/>
  <c r="Y19" i="1" l="1"/>
  <c r="L19" i="1"/>
  <c r="Q19" i="1"/>
  <c r="S19" i="1"/>
  <c r="Q8" i="1" l="1"/>
  <c r="Q9" i="1"/>
  <c r="Q10" i="1"/>
  <c r="Q11" i="1"/>
  <c r="Q12" i="1"/>
  <c r="Q13" i="1"/>
  <c r="Q14" i="1"/>
  <c r="Q15" i="1"/>
  <c r="Q16" i="1"/>
  <c r="Q18" i="1"/>
  <c r="Q20" i="1"/>
  <c r="Q22" i="1"/>
  <c r="Q4" i="1"/>
  <c r="Q5" i="1"/>
  <c r="Q6" i="1"/>
  <c r="Q7" i="1"/>
  <c r="Q17" i="1"/>
  <c r="L8" i="1"/>
  <c r="L9" i="1"/>
  <c r="L10" i="1"/>
  <c r="L11" i="1"/>
  <c r="L12" i="1"/>
  <c r="L13" i="1"/>
  <c r="L14" i="1"/>
  <c r="L15" i="1"/>
  <c r="L16" i="1"/>
  <c r="L18" i="1"/>
  <c r="L20" i="1"/>
  <c r="L22" i="1"/>
  <c r="L4" i="1"/>
  <c r="L5" i="1"/>
  <c r="L6" i="1"/>
  <c r="L7" i="1"/>
  <c r="L17" i="1"/>
  <c r="V2" i="8" a="1"/>
  <c r="V2" i="8" s="1"/>
  <c r="S3" i="8" s="1"/>
  <c r="J17" i="1"/>
  <c r="Y17" i="1" s="1"/>
  <c r="S17" i="1"/>
  <c r="J7" i="1"/>
  <c r="Y7" i="1" s="1"/>
  <c r="S7" i="1"/>
  <c r="J6" i="1"/>
  <c r="Y6" i="1" s="1"/>
  <c r="S6" i="1"/>
  <c r="J5" i="1"/>
  <c r="Y5" i="1" s="1"/>
  <c r="S5" i="1"/>
  <c r="J4" i="1"/>
  <c r="Y4" i="1" s="1"/>
  <c r="S4" i="1"/>
  <c r="G31" i="8"/>
  <c r="G29" i="8"/>
  <c r="J22" i="1" l="1"/>
  <c r="Y22" i="1" s="1"/>
  <c r="S22" i="1"/>
  <c r="J20" i="1"/>
  <c r="Y20" i="1" s="1"/>
  <c r="S20" i="1"/>
  <c r="J18" i="1"/>
  <c r="Y18" i="1" s="1"/>
  <c r="S18" i="1"/>
  <c r="J15" i="1"/>
  <c r="Y15" i="1" s="1"/>
  <c r="S15" i="1"/>
  <c r="J14" i="1"/>
  <c r="Y14" i="1" s="1"/>
  <c r="S14" i="1"/>
  <c r="J16" i="1"/>
  <c r="Y16" i="1" s="1"/>
  <c r="S16" i="1"/>
  <c r="J13" i="1"/>
  <c r="Y13" i="1" s="1"/>
  <c r="S13" i="1"/>
  <c r="J12" i="1"/>
  <c r="Y12" i="1" s="1"/>
  <c r="S12" i="1"/>
  <c r="J11" i="1"/>
  <c r="Y11" i="1" s="1"/>
  <c r="S11" i="1"/>
  <c r="J10" i="1"/>
  <c r="Y10" i="1" s="1"/>
  <c r="S10" i="1"/>
  <c r="S8" i="1"/>
  <c r="S9" i="1"/>
  <c r="J8" i="1"/>
  <c r="Y8" i="1" s="1"/>
  <c r="J9" i="1"/>
  <c r="Y9" i="1" s="1"/>
  <c r="I14" i="9"/>
  <c r="I17" i="9"/>
  <c r="I16" i="9"/>
  <c r="I15" i="9"/>
  <c r="I13" i="9"/>
  <c r="I4" i="9"/>
  <c r="I5" i="9"/>
  <c r="I6" i="9"/>
  <c r="I7" i="9"/>
  <c r="I8" i="9"/>
  <c r="I9" i="9"/>
  <c r="I10" i="9"/>
  <c r="I11" i="9"/>
  <c r="I12" i="9"/>
  <c r="I3" i="9"/>
  <c r="E2" i="9"/>
  <c r="W2" i="8" a="1"/>
  <c r="W2" i="8" s="1"/>
  <c r="V3" i="8" a="1"/>
  <c r="V3" i="8" s="1"/>
  <c r="S4" i="8" s="1"/>
  <c r="O2" i="8" a="1"/>
  <c r="O2" i="8" s="1"/>
  <c r="O3" i="8" s="1" a="1"/>
  <c r="O3" i="8" s="1"/>
  <c r="N2" i="8" a="1"/>
  <c r="N2" i="8" s="1"/>
  <c r="N3" i="8" s="1" a="1"/>
  <c r="N3" i="8" s="1"/>
  <c r="M2" i="8" a="1"/>
  <c r="M2" i="8" s="1"/>
  <c r="M3" i="8" s="1" a="1"/>
  <c r="M3" i="8" s="1"/>
  <c r="G30" i="8"/>
  <c r="G28" i="8"/>
  <c r="G2" i="8"/>
  <c r="G3" i="8"/>
  <c r="G4" i="8"/>
  <c r="G5" i="8"/>
  <c r="G6" i="8"/>
  <c r="G7" i="8"/>
  <c r="G8" i="8"/>
  <c r="G9" i="8"/>
  <c r="G10" i="8"/>
  <c r="G11" i="8"/>
  <c r="G12" i="8"/>
  <c r="G13" i="8"/>
  <c r="G14" i="8"/>
  <c r="G15" i="8"/>
  <c r="G16" i="8"/>
  <c r="G17" i="8"/>
  <c r="G18" i="8"/>
  <c r="G19" i="8"/>
  <c r="G20" i="8"/>
  <c r="G21" i="8"/>
  <c r="G22" i="8"/>
  <c r="G23" i="8"/>
  <c r="G24" i="8"/>
  <c r="G25" i="8"/>
  <c r="G26" i="8"/>
  <c r="G27" i="8"/>
  <c r="D23" i="1" l="1"/>
  <c r="D21" i="1"/>
  <c r="D19" i="1"/>
  <c r="D12" i="1"/>
  <c r="D4" i="1"/>
  <c r="D7" i="1"/>
  <c r="D13" i="1"/>
  <c r="D5" i="1"/>
  <c r="D14" i="1"/>
  <c r="D6" i="1"/>
  <c r="D15" i="1"/>
  <c r="D17" i="1"/>
  <c r="D8" i="1"/>
  <c r="D16" i="1"/>
  <c r="D9" i="1"/>
  <c r="D18" i="1"/>
  <c r="D20" i="1"/>
  <c r="D10" i="1"/>
  <c r="D11" i="1"/>
  <c r="D22" i="1"/>
  <c r="W3" i="8" a="1"/>
  <c r="W3" i="8" s="1"/>
  <c r="T4" i="8" s="1"/>
  <c r="T3" i="8"/>
  <c r="V4" i="8" a="1"/>
  <c r="V4" i="8" s="1"/>
  <c r="S5" i="8" s="1"/>
  <c r="O4" i="8" a="1"/>
  <c r="O4" i="8" s="1"/>
  <c r="N4" i="8" a="1"/>
  <c r="N4" i="8" s="1"/>
  <c r="M4" i="8" a="1"/>
  <c r="M4" i="8" s="1"/>
  <c r="A2" i="1"/>
  <c r="W4" i="8" l="1" a="1"/>
  <c r="W4" i="8" s="1"/>
  <c r="T5" i="8" s="1"/>
  <c r="V5" i="8" a="1"/>
  <c r="V5" i="8" s="1"/>
  <c r="S6" i="8" s="1"/>
  <c r="O5" i="8" a="1"/>
  <c r="O5" i="8" s="1"/>
  <c r="N5" i="8" a="1"/>
  <c r="N5" i="8" s="1"/>
  <c r="M5" i="8" a="1"/>
  <c r="M5" i="8" s="1"/>
  <c r="W5" i="8" l="1" a="1"/>
  <c r="W5" i="8" s="1"/>
  <c r="T6" i="8" s="1"/>
  <c r="V6" i="8" a="1"/>
  <c r="V6" i="8" s="1"/>
  <c r="S7" i="8" s="1"/>
  <c r="O6" i="8" a="1"/>
  <c r="O6" i="8" s="1"/>
  <c r="N6" i="8" a="1"/>
  <c r="N6" i="8" s="1"/>
  <c r="M6" i="8" a="1"/>
  <c r="M6" i="8" s="1"/>
  <c r="W6" i="8" l="1" a="1"/>
  <c r="W6" i="8" s="1"/>
  <c r="T7" i="8" s="1"/>
  <c r="V7" i="8" a="1"/>
  <c r="V7" i="8" s="1"/>
  <c r="O7" i="8" a="1"/>
  <c r="O7" i="8" s="1"/>
  <c r="O8" i="8" s="1" a="1"/>
  <c r="O8" i="8" s="1"/>
  <c r="N7" i="8" a="1"/>
  <c r="N7" i="8" s="1"/>
  <c r="N8" i="8" s="1" a="1"/>
  <c r="N8" i="8" s="1"/>
  <c r="M7" i="8" a="1"/>
  <c r="M7" i="8" s="1"/>
  <c r="M8" i="8" s="1" a="1"/>
  <c r="M8" i="8" s="1"/>
  <c r="W7" i="8" l="1" a="1"/>
  <c r="W7" i="8" s="1"/>
  <c r="V8" i="8" a="1"/>
  <c r="V8" i="8" s="1"/>
  <c r="S9" i="8" s="1"/>
  <c r="S8" i="8"/>
  <c r="O9" i="8" a="1"/>
  <c r="O9" i="8" s="1"/>
  <c r="O10" i="8" s="1" a="1"/>
  <c r="O10" i="8" s="1"/>
  <c r="O11" i="8" s="1" a="1"/>
  <c r="O11" i="8" s="1"/>
  <c r="O12" i="8" s="1" a="1"/>
  <c r="O12" i="8" s="1"/>
  <c r="O13" i="8" s="1" a="1"/>
  <c r="O13" i="8" s="1"/>
  <c r="O14" i="8" s="1" a="1"/>
  <c r="O14" i="8" s="1"/>
  <c r="O15" i="8" s="1" a="1"/>
  <c r="O15" i="8" s="1"/>
  <c r="O16" i="8" s="1" a="1"/>
  <c r="O16" i="8" s="1"/>
  <c r="O17" i="8" s="1" a="1"/>
  <c r="O17" i="8" s="1"/>
  <c r="O18" i="8" s="1" a="1"/>
  <c r="O18" i="8" s="1"/>
  <c r="O19" i="8" s="1" a="1"/>
  <c r="O19" i="8" s="1"/>
  <c r="O20" i="8" s="1" a="1"/>
  <c r="O20" i="8" s="1"/>
  <c r="O21" i="8" s="1" a="1"/>
  <c r="O21" i="8" s="1"/>
  <c r="O22" i="8" s="1" a="1"/>
  <c r="O22" i="8" s="1"/>
  <c r="O23" i="8" s="1" a="1"/>
  <c r="O23" i="8" s="1"/>
  <c r="O24" i="8" s="1" a="1"/>
  <c r="O24" i="8" s="1"/>
  <c r="O25" i="8" s="1" a="1"/>
  <c r="O25" i="8" s="1"/>
  <c r="O26" i="8" s="1" a="1"/>
  <c r="O26" i="8" s="1"/>
  <c r="O27" i="8" s="1" a="1"/>
  <c r="O27" i="8" s="1"/>
  <c r="O28" i="8" s="1" a="1"/>
  <c r="O28" i="8" s="1"/>
  <c r="O29" i="8" s="1" a="1"/>
  <c r="O29" i="8" s="1"/>
  <c r="O30" i="8" s="1" a="1"/>
  <c r="O30" i="8" s="1"/>
  <c r="O31" i="8" s="1" a="1"/>
  <c r="O31" i="8" s="1"/>
  <c r="O32" i="8" s="1" a="1"/>
  <c r="O32" i="8" s="1"/>
  <c r="O33" i="8" s="1" a="1"/>
  <c r="O33" i="8" s="1"/>
  <c r="O34" i="8" s="1" a="1"/>
  <c r="O34" i="8" s="1"/>
  <c r="O35" i="8" s="1" a="1"/>
  <c r="O35" i="8" s="1"/>
  <c r="O36" i="8" s="1" a="1"/>
  <c r="O36" i="8" s="1"/>
  <c r="O37" i="8" s="1" a="1"/>
  <c r="O37" i="8" s="1"/>
  <c r="O38" i="8" s="1" a="1"/>
  <c r="O38" i="8" s="1"/>
  <c r="N9" i="8" a="1"/>
  <c r="N9" i="8" s="1"/>
  <c r="N10" i="8" s="1" a="1"/>
  <c r="N10" i="8" s="1"/>
  <c r="N11" i="8" s="1" a="1"/>
  <c r="N11" i="8" s="1"/>
  <c r="N12" i="8" s="1" a="1"/>
  <c r="N12" i="8" s="1"/>
  <c r="N13" i="8" s="1" a="1"/>
  <c r="N13" i="8" s="1"/>
  <c r="N14" i="8" s="1" a="1"/>
  <c r="N14" i="8" s="1"/>
  <c r="N15" i="8" s="1" a="1"/>
  <c r="N15" i="8" s="1"/>
  <c r="M9" i="8" a="1"/>
  <c r="M9" i="8" s="1"/>
  <c r="M10" i="8" s="1" a="1"/>
  <c r="M10" i="8" s="1"/>
  <c r="M11" i="8" s="1" a="1"/>
  <c r="M11" i="8" s="1"/>
  <c r="M12" i="8" s="1" a="1"/>
  <c r="M12" i="8" s="1"/>
  <c r="M13" i="8" s="1" a="1"/>
  <c r="M13" i="8" s="1"/>
  <c r="M14" i="8" s="1" a="1"/>
  <c r="M14" i="8" s="1"/>
  <c r="M15" i="8" s="1" a="1"/>
  <c r="M15" i="8" s="1"/>
  <c r="W8" i="8" l="1" a="1"/>
  <c r="W8" i="8" s="1"/>
  <c r="T9" i="8" s="1"/>
  <c r="T8" i="8"/>
  <c r="V9" i="8" a="1"/>
  <c r="V9" i="8" s="1"/>
  <c r="W9" i="8" l="1" a="1"/>
  <c r="W9" i="8" s="1"/>
  <c r="V10" i="8" a="1"/>
  <c r="V10" i="8" s="1"/>
  <c r="S10" i="8"/>
  <c r="W10" i="8" l="1" a="1"/>
  <c r="W10" i="8" s="1"/>
  <c r="T10" i="8"/>
  <c r="V11" i="8" a="1"/>
  <c r="V11" i="8" s="1"/>
  <c r="S11" i="8"/>
  <c r="W11" i="8" l="1" a="1"/>
  <c r="W11" i="8" s="1"/>
  <c r="T11" i="8"/>
  <c r="V12" i="8" a="1"/>
  <c r="V12" i="8" s="1"/>
  <c r="S12" i="8"/>
  <c r="W12" i="8" l="1" a="1"/>
  <c r="W12" i="8" s="1"/>
  <c r="T12" i="8"/>
  <c r="V13" i="8" a="1"/>
  <c r="V13" i="8" s="1"/>
  <c r="S13" i="8"/>
  <c r="W13" i="8" l="1" a="1"/>
  <c r="W13" i="8" s="1"/>
  <c r="T13" i="8"/>
  <c r="V14" i="8" a="1"/>
  <c r="V14" i="8" s="1"/>
  <c r="S14" i="8"/>
  <c r="W14" i="8" l="1" a="1"/>
  <c r="W14" i="8" s="1"/>
  <c r="T14" i="8"/>
  <c r="V15" i="8" a="1"/>
  <c r="V15" i="8" s="1"/>
  <c r="S15" i="8"/>
  <c r="W15" i="8" l="1" a="1"/>
  <c r="W15" i="8" s="1"/>
  <c r="T15" i="8"/>
</calcChain>
</file>

<file path=xl/comments1.xml><?xml version="1.0" encoding="utf-8"?>
<comments xmlns="http://schemas.openxmlformats.org/spreadsheetml/2006/main">
  <authors>
    <author>Jeff</author>
  </authors>
  <commentList>
    <comment ref="A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B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C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D3" authorId="0" shapeId="0">
      <text>
        <r>
          <rPr>
            <b/>
            <sz val="9"/>
            <color indexed="81"/>
            <rFont val="Tahoma"/>
            <family val="2"/>
          </rPr>
          <t>Jeff:</t>
        </r>
        <r>
          <rPr>
            <sz val="9"/>
            <color indexed="81"/>
            <rFont val="Tahoma"/>
            <family val="2"/>
          </rPr>
          <t xml:space="preserve">
This field is looked up based on the values in cols A, B and C using the Lookup table on the LookUps tab, Cols G - K</t>
        </r>
      </text>
    </comment>
    <comment ref="E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F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G3" authorId="0" shapeId="0">
      <text>
        <r>
          <rPr>
            <b/>
            <sz val="9"/>
            <color indexed="81"/>
            <rFont val="Tahoma"/>
            <family val="2"/>
          </rPr>
          <t>Jeff:</t>
        </r>
        <r>
          <rPr>
            <sz val="9"/>
            <color indexed="81"/>
            <rFont val="Tahoma"/>
            <family val="2"/>
          </rPr>
          <t xml:space="preserve">
This field is entered manually by CM Admin to reflect known state of the CDRL.
This field cannot be empty.  </t>
        </r>
      </text>
    </comment>
    <comment ref="H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L3" authorId="0" shapeId="0">
      <text>
        <r>
          <rPr>
            <b/>
            <sz val="9"/>
            <color indexed="81"/>
            <rFont val="Tahoma"/>
            <family val="2"/>
          </rPr>
          <t>Jeff:</t>
        </r>
        <r>
          <rPr>
            <sz val="9"/>
            <color indexed="81"/>
            <rFont val="Tahoma"/>
            <family val="2"/>
          </rPr>
          <t xml:space="preserve">
If in "SETA Rvw" state, then compute SETA Rvw Team Due Date - TODAY().
If result positive, then there are days remianing to complete the review.
If negative, SETA review team comments are OVERDUE.</t>
        </r>
      </text>
    </comment>
    <comment ref="Q3" authorId="0" shapeId="0">
      <text>
        <r>
          <rPr>
            <b/>
            <sz val="9"/>
            <color indexed="81"/>
            <rFont val="Tahoma"/>
            <family val="2"/>
          </rPr>
          <t>Jeff:</t>
        </r>
        <r>
          <rPr>
            <sz val="9"/>
            <color indexed="81"/>
            <rFont val="Tahoma"/>
            <family val="2"/>
          </rPr>
          <t xml:space="preserve">
If in "SETA Rvw" state, then compute SETA Rvw Team Due Date - TODAY().
If result positive, then there are days remianing to complete the review.
If negative, SETA review team comments are OVERDUE.</t>
        </r>
      </text>
    </comment>
  </commentList>
</comments>
</file>

<file path=xl/comments2.xml><?xml version="1.0" encoding="utf-8"?>
<comments xmlns="http://schemas.openxmlformats.org/spreadsheetml/2006/main">
  <authors>
    <author>Jeff</author>
  </authors>
  <commentList>
    <comment ref="H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I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J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K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M1" authorId="0" shapeId="0">
      <text>
        <r>
          <rPr>
            <b/>
            <sz val="9"/>
            <color indexed="81"/>
            <rFont val="Tahoma"/>
            <family val="2"/>
          </rPr>
          <t xml:space="preserve">JeffRapp:
</t>
        </r>
        <r>
          <rPr>
            <sz val="9"/>
            <color indexed="81"/>
            <rFont val="Tahoma"/>
            <family val="2"/>
          </rPr>
          <t>List of unique values from Col H (KTRs), sorted.
Used for pulldown on KTR field (Col A) on Tracking-R1 worksheet</t>
        </r>
        <r>
          <rPr>
            <b/>
            <sz val="9"/>
            <color indexed="81"/>
            <rFont val="Tahoma"/>
            <family val="2"/>
          </rPr>
          <t xml:space="preserve">
</t>
        </r>
      </text>
    </comment>
    <comment ref="N1" authorId="0" shapeId="0">
      <text>
        <r>
          <rPr>
            <b/>
            <sz val="9"/>
            <color indexed="81"/>
            <rFont val="Tahoma"/>
            <family val="2"/>
          </rPr>
          <t xml:space="preserve">JeffRapp:
</t>
        </r>
        <r>
          <rPr>
            <sz val="9"/>
            <color indexed="81"/>
            <rFont val="Tahoma"/>
            <family val="2"/>
          </rPr>
          <t>List of unique values from Col I (CLINs), sorted.
Used for pulldown on CLIN field (Col B) on Tracking-R1 worksheet</t>
        </r>
        <r>
          <rPr>
            <b/>
            <sz val="9"/>
            <color indexed="81"/>
            <rFont val="Tahoma"/>
            <family val="2"/>
          </rPr>
          <t xml:space="preserve">
</t>
        </r>
      </text>
    </comment>
    <comment ref="O1" authorId="0" shapeId="0">
      <text>
        <r>
          <rPr>
            <b/>
            <sz val="9"/>
            <color indexed="81"/>
            <rFont val="Tahoma"/>
            <family val="2"/>
          </rPr>
          <t xml:space="preserve">JeffRapp:
</t>
        </r>
        <r>
          <rPr>
            <sz val="9"/>
            <color indexed="81"/>
            <rFont val="Tahoma"/>
            <family val="2"/>
          </rPr>
          <t>List of unique values from Col J (CDRL No), sorted.
Used for pulldown on CDRL No field (Col C) on Tracking-R1 worksheet</t>
        </r>
        <r>
          <rPr>
            <b/>
            <sz val="9"/>
            <color indexed="81"/>
            <rFont val="Tahoma"/>
            <family val="2"/>
          </rPr>
          <t xml:space="preserve">
</t>
        </r>
      </text>
    </comment>
  </commentList>
</comments>
</file>

<file path=xl/sharedStrings.xml><?xml version="1.0" encoding="utf-8"?>
<sst xmlns="http://schemas.openxmlformats.org/spreadsheetml/2006/main" count="1641" uniqueCount="456">
  <si>
    <t>KTR</t>
  </si>
  <si>
    <t>CLIN</t>
  </si>
  <si>
    <t>CDRL ID</t>
  </si>
  <si>
    <t>Title</t>
  </si>
  <si>
    <t>Applicable To</t>
  </si>
  <si>
    <t>Submission</t>
  </si>
  <si>
    <t>State</t>
  </si>
  <si>
    <t>KTR Date Due</t>
  </si>
  <si>
    <t>Actual Delivery Date</t>
  </si>
  <si>
    <t>KTR OnTime/Late</t>
  </si>
  <si>
    <t>SETA Review Team Due Date</t>
  </si>
  <si>
    <t>SETA Rvw Days Remaining</t>
  </si>
  <si>
    <t>PO Reviewer Recco</t>
  </si>
  <si>
    <t>Actual PO Date</t>
  </si>
  <si>
    <t>PO Reviewer Comments</t>
  </si>
  <si>
    <t>Gov't Response Due Date</t>
  </si>
  <si>
    <t>Response Days Remaining</t>
  </si>
  <si>
    <t>Actual Gov't Response Date</t>
  </si>
  <si>
    <t>Gov't OnTime/Late</t>
  </si>
  <si>
    <t>COTR Comments</t>
  </si>
  <si>
    <t>Date CCM Notified</t>
  </si>
  <si>
    <t>KTR Resubmit Date</t>
  </si>
  <si>
    <t>EarlyLateOntime</t>
  </si>
  <si>
    <t>Default Col Widths for worksheet "Tracking-R1" (Col number is row 2, width in pixels is on row 3)</t>
  </si>
  <si>
    <t>Count of Rows Showing</t>
  </si>
  <si>
    <t>L</t>
  </si>
  <si>
    <t>CLN-0002</t>
  </si>
  <si>
    <t>A-001</t>
  </si>
  <si>
    <t>8 Oct 19, Kickoff</t>
  </si>
  <si>
    <t>Name</t>
  </si>
  <si>
    <t>Email</t>
  </si>
  <si>
    <t>Role/Notes</t>
  </si>
  <si>
    <t>A-002</t>
  </si>
  <si>
    <t>A-004</t>
  </si>
  <si>
    <t>A-005</t>
  </si>
  <si>
    <t>A-006</t>
  </si>
  <si>
    <t>A-007</t>
  </si>
  <si>
    <t>A-008</t>
  </si>
  <si>
    <t>A-009</t>
  </si>
  <si>
    <t>A-010</t>
  </si>
  <si>
    <t>A-011</t>
  </si>
  <si>
    <t>B-001</t>
  </si>
  <si>
    <t>B-002</t>
  </si>
  <si>
    <t>B-003</t>
  </si>
  <si>
    <t>B-004</t>
  </si>
  <si>
    <t>B-005</t>
  </si>
  <si>
    <t>B-006</t>
  </si>
  <si>
    <t>B-007</t>
  </si>
  <si>
    <t>B-008</t>
  </si>
  <si>
    <t>B-009</t>
  </si>
  <si>
    <t>B-010</t>
  </si>
  <si>
    <t>B-011</t>
  </si>
  <si>
    <t>C-001</t>
  </si>
  <si>
    <t>C-002</t>
  </si>
  <si>
    <t>C-003</t>
  </si>
  <si>
    <t>D-001</t>
  </si>
  <si>
    <t>F-001</t>
  </si>
  <si>
    <t>Object Changed</t>
  </si>
  <si>
    <t>Was</t>
  </si>
  <si>
    <t>Is</t>
  </si>
  <si>
    <t>Public Function FindLastColInReviewerTable()</t>
  </si>
  <si>
    <t>FindLastColInReviewerTable = ws.ListObjects("Table1").Range.Rows(2).Cells.Find("*", SearchOrder:=xlByColumns, SearchDirection:=xlPrevious).Column</t>
  </si>
  <si>
    <t>FindLastColInReviewerTable = ActiveSheet.ListObjects("Table1").DataBodyRange.Columns.Count  'for row count change Columns to Rows</t>
  </si>
  <si>
    <t>No.</t>
  </si>
  <si>
    <t>-</t>
  </si>
  <si>
    <t>Added alternating row shading to table range as a table format</t>
  </si>
  <si>
    <t>Table 2 on Tracking-R1 worksheet</t>
  </si>
  <si>
    <t>Internal Review Email Defaults</t>
  </si>
  <si>
    <t>List of Authorized Email Users (Syntax is &lt;Lname&gt;_&lt;Fname&gt;)</t>
  </si>
  <si>
    <t>Lname_Fname</t>
  </si>
  <si>
    <t>Rapp Jeffrey</t>
  </si>
  <si>
    <t>Brown Cheryl</t>
  </si>
  <si>
    <t>Chrsit Marlene</t>
  </si>
  <si>
    <t>Ramoura Manny</t>
  </si>
  <si>
    <t>Egg Alexa</t>
  </si>
  <si>
    <t>Initial Path for CDRL Folder Picker:</t>
  </si>
  <si>
    <t>Contractor Email Distribution Lists (Assumes there is only one contractor for this CDRL Tracking Tool file)</t>
  </si>
  <si>
    <t>Instructions to add Auth Users</t>
  </si>
  <si>
    <t>Recipient (R) or CC: (I)</t>
  </si>
  <si>
    <t>Brown, Cheryl</t>
  </si>
  <si>
    <t>Crist, Marlene</t>
  </si>
  <si>
    <t>Egg, Alexa</t>
  </si>
  <si>
    <t>Ramoura, Manny</t>
  </si>
  <si>
    <t>Essence, Drew</t>
  </si>
  <si>
    <t>Saddleback, Steve</t>
  </si>
  <si>
    <t>Frey, Patrick</t>
  </si>
  <si>
    <t>Hubener, Vicotr</t>
  </si>
  <si>
    <t>Murphy, Jim</t>
  </si>
  <si>
    <t>Dixon, Pamela</t>
  </si>
  <si>
    <t>Browncherly@gmail.com</t>
  </si>
  <si>
    <t>Cristmarlene@gmail.com</t>
  </si>
  <si>
    <t>Eggalexa@gmail.com</t>
  </si>
  <si>
    <t>ramouramanny@gmail.com</t>
  </si>
  <si>
    <t>essencedrew@gmail.com</t>
  </si>
  <si>
    <t>saddlebacksteve@gmail.com</t>
  </si>
  <si>
    <t>freypatrick@gmail.com</t>
  </si>
  <si>
    <t>hubenervicotr@gmail.com</t>
  </si>
  <si>
    <t>murphyjim@gmail.com</t>
  </si>
  <si>
    <t>dixonpamela@gmail.com</t>
  </si>
  <si>
    <t>I</t>
  </si>
  <si>
    <t>R</t>
  </si>
  <si>
    <t>All KTRs</t>
  </si>
  <si>
    <t>All CLINs</t>
  </si>
  <si>
    <t>Dynamic Table for Evaluating CDRL Reporting (Data changes can only be made on the Tracking-R1 worksheet, not here.)</t>
  </si>
  <si>
    <t>(blank)</t>
  </si>
  <si>
    <t>Status</t>
  </si>
  <si>
    <t>Rvw Status</t>
  </si>
  <si>
    <t>COTR Decision</t>
  </si>
  <si>
    <t>ConCat</t>
  </si>
  <si>
    <t>CDRL No (BLK 1)</t>
  </si>
  <si>
    <t>Title (BLK 2)</t>
  </si>
  <si>
    <t>UnqKTR</t>
  </si>
  <si>
    <t>UnqCLIN</t>
  </si>
  <si>
    <t>UnqCDRLNo</t>
  </si>
  <si>
    <t>KTR Dshbd Filter</t>
  </si>
  <si>
    <t>CLIN Dshbd Filter</t>
  </si>
  <si>
    <t>UnqKTR in Data</t>
  </si>
  <si>
    <t>UnqCLIN in Data</t>
  </si>
  <si>
    <t>Waiting Dlvry</t>
  </si>
  <si>
    <t>SETA Rvw</t>
  </si>
  <si>
    <t>GPOC Rvw</t>
  </si>
  <si>
    <t>Complete</t>
  </si>
  <si>
    <t>OBE</t>
  </si>
  <si>
    <t>A</t>
  </si>
  <si>
    <t>C</t>
  </si>
  <si>
    <t>Aprvd</t>
  </si>
  <si>
    <t>Aprvd-Cmnts</t>
  </si>
  <si>
    <t>Rjctd</t>
  </si>
  <si>
    <t>Rvwd</t>
  </si>
  <si>
    <t>Presentation Materials</t>
  </si>
  <si>
    <t>Program Management Plan</t>
  </si>
  <si>
    <t>Integrated Master Plan (IMP)</t>
  </si>
  <si>
    <t>Integrated Master Schedule (IMS)</t>
  </si>
  <si>
    <t>Systems Engineering Management Plan (SEMP)</t>
  </si>
  <si>
    <t>CLN-0001</t>
  </si>
  <si>
    <t>B</t>
  </si>
  <si>
    <t>1-PreEvent</t>
  </si>
  <si>
    <t>1-Initial</t>
  </si>
  <si>
    <t>2-Resubmit1</t>
  </si>
  <si>
    <t>3-Resubmit2</t>
  </si>
  <si>
    <t>4-Resubmit3</t>
  </si>
  <si>
    <t>5-Resubmit4</t>
  </si>
  <si>
    <t>6-Resubmit5</t>
  </si>
  <si>
    <t>7-Update</t>
  </si>
  <si>
    <t>Start Event</t>
  </si>
  <si>
    <t>NumDay</t>
  </si>
  <si>
    <t>DayType</t>
  </si>
  <si>
    <t>Due Date (Computed)</t>
  </si>
  <si>
    <t>BD</t>
  </si>
  <si>
    <t>Instructions:</t>
  </si>
  <si>
    <t>- Enter Reference Date in cell B2</t>
  </si>
  <si>
    <t>- Computed due date is in cel E2</t>
  </si>
  <si>
    <t>- Enter number of days offset in cell C2</t>
  </si>
  <si>
    <t>Holiday Table</t>
  </si>
  <si>
    <t>Date</t>
  </si>
  <si>
    <t>Day of Week</t>
  </si>
  <si>
    <t>Description</t>
  </si>
  <si>
    <t>New Year's Day</t>
  </si>
  <si>
    <t>MLK jr Day</t>
  </si>
  <si>
    <t>Washington's Birthday</t>
  </si>
  <si>
    <t>Memorial Day</t>
  </si>
  <si>
    <t>July 4th</t>
  </si>
  <si>
    <t>Labor Day</t>
  </si>
  <si>
    <t>Columbus Day</t>
  </si>
  <si>
    <t>Veterans Day</t>
  </si>
  <si>
    <t>Thanksgiving Day</t>
  </si>
  <si>
    <t>Christmas Day</t>
  </si>
  <si>
    <t>Default Filepath:</t>
  </si>
  <si>
    <t>Default Filename Syntax:</t>
  </si>
  <si>
    <t>YYYYMMDD, hhmm, Wbname</t>
  </si>
  <si>
    <t>Date_Time File Saved</t>
  </si>
  <si>
    <t>Filename</t>
  </si>
  <si>
    <t>User When Backed Up</t>
  </si>
  <si>
    <t>Location (Path)</t>
  </si>
  <si>
    <t>Revision</t>
  </si>
  <si>
    <t>Change Author</t>
  </si>
  <si>
    <t>Change Summary</t>
  </si>
  <si>
    <t>R29</t>
  </si>
  <si>
    <t>R30</t>
  </si>
  <si>
    <t>R40</t>
  </si>
  <si>
    <t>R41</t>
  </si>
  <si>
    <t>R43</t>
  </si>
  <si>
    <t>JRapp</t>
  </si>
  <si>
    <t>- Added Early/Late/Ontime data slicer to ReportPvt worksheet
- Added new capability to generate eamils to review teams
-Added new capability to define reviewers or info only email recipients by CDRL on new worksheet called RvwrAsgnmnts.  Includes buttons to Add New Revewer and Add New CDRL</t>
  </si>
  <si>
    <t>-Removed columns for reviewers on Tracking-R1 worksheet since not ubeing used
-Added new Field for CLIN to Tracking-R1 worksheet</t>
  </si>
  <si>
    <t>-Complete major update of the tool.  Changes include:
   - Removed columns tracking reviewer assignments and states (not used)
   - Added Reviewer Assignment matrix for assigning reviewers responsbilities and sending eamils (R=Reviewer on TO: line of email; I=Informational on CC: line of email)
   - Added eamil capability for incoming CDRLs going out for review
   - Added eamil capability for outgoing CDRL dsiposition email to contractor
   - Added authorized user test for authorized user to send Dispostionion Emails
   - Numerous other minor improvements and bug fixes</t>
  </si>
  <si>
    <t>Added capabilty to build dashboards with CLIN Filter
added capability to have unique CDRL Lists for KTR-CLLIN-CDRL No
Added capability to generalized pick lists that dynamically change length and aplphbeticaly sorted</t>
  </si>
  <si>
    <t>1) Found erro in CreateCDRLSLatePivot macro code that was loooking in Column 7 (Sate) for "Late-Pending" and it should have been looking in Column 10 (KTR OnTime/Late).  Because of this, no CDRLs were being found late that indeed were late.</t>
  </si>
  <si>
    <t>Processed R43 from Hi-side and reconstituted the CDTRL Tool on the low-side.</t>
  </si>
  <si>
    <t>Col Num-&gt;</t>
  </si>
  <si>
    <t>ErrorType:  RowX, ColY</t>
  </si>
  <si>
    <t>13 Nov 19, PMR</t>
  </si>
  <si>
    <t>25 Nov 19, Delta Seg Req</t>
  </si>
  <si>
    <t>2-PostEvent</t>
  </si>
  <si>
    <t>18 Mar 20, PMR w/C2S</t>
  </si>
  <si>
    <t>22 Jan 20,PMR</t>
  </si>
  <si>
    <t>Attached are the</t>
  </si>
  <si>
    <t>We have</t>
  </si>
  <si>
    <t>Incoproate</t>
  </si>
  <si>
    <t>Comment sheet sent</t>
  </si>
  <si>
    <t>Gov't and Cont worked</t>
  </si>
  <si>
    <t>Final Pre-Event Submit</t>
  </si>
  <si>
    <t>COTR approved (via email)</t>
  </si>
  <si>
    <t>Also reference B-011</t>
  </si>
  <si>
    <t>Comment sheet sent by</t>
  </si>
  <si>
    <t>J. Reed agreed (email)</t>
  </si>
  <si>
    <t>KTR and CLIN Filter Controls</t>
  </si>
  <si>
    <t>Select Look Ahead Range
(Days)</t>
  </si>
  <si>
    <t>Total Records</t>
  </si>
  <si>
    <t>Data Validation Errors</t>
  </si>
  <si>
    <t>PMR</t>
  </si>
  <si>
    <t>OnTime</t>
  </si>
  <si>
    <t>Late 1cd</t>
  </si>
  <si>
    <t>Early 1cd</t>
  </si>
  <si>
    <t>Early 3cd</t>
  </si>
  <si>
    <t>Row Labels</t>
  </si>
  <si>
    <t>Grand Total</t>
  </si>
  <si>
    <t xml:space="preserve">  Control</t>
  </si>
  <si>
    <t xml:space="preserve">  Panel</t>
  </si>
  <si>
    <t>COTR Decision - Outcome</t>
  </si>
  <si>
    <t>CDRL On-Time Delivery Metrics</t>
  </si>
  <si>
    <t>Column Labels</t>
  </si>
  <si>
    <t>Early</t>
  </si>
  <si>
    <t>Late</t>
  </si>
  <si>
    <t>Count of CDRL ID</t>
  </si>
  <si>
    <t>CDRLs Quality Metrics (Blank = Not reviewed yet)</t>
  </si>
  <si>
    <t>EMAIL BODY TEXT DEFAULTS BEGIN ON CELL F28 BELOW</t>
  </si>
  <si>
    <t>Default email text fields can be changed by the administrator without code changes</t>
  </si>
  <si>
    <r>
      <rPr>
        <sz val="11"/>
        <color rgb="FFFF0000"/>
        <rFont val="Calibri"/>
        <family val="2"/>
        <scheme val="minor"/>
      </rPr>
      <t xml:space="preserve">CAUTION:  </t>
    </r>
    <r>
      <rPr>
        <sz val="11"/>
        <color theme="1"/>
        <rFont val="Calibri"/>
        <family val="2"/>
        <scheme val="minor"/>
      </rPr>
      <t>There must be at least one blank row bewteeen Email Body text default types</t>
    </r>
  </si>
  <si>
    <t>Internal Review Email Body Text (use Alt-Return for Carriage Return)</t>
  </si>
  <si>
    <t>Field Names on "SendEmailForRvwForm" Form</t>
  </si>
  <si>
    <t>P1</t>
  </si>
  <si>
    <t xml:space="preserve">   Contractor (KTR) = </t>
  </si>
  <si>
    <t xml:space="preserve">   CLIN = </t>
  </si>
  <si>
    <t xml:space="preserve">   CDRL = </t>
  </si>
  <si>
    <t xml:space="preserve">   Applicable To = </t>
  </si>
  <si>
    <t xml:space="preserve">   Due Date = </t>
  </si>
  <si>
    <t xml:space="preserve">   Actual Delivery Date = </t>
  </si>
  <si>
    <t xml:space="preserve">   Review Team Comments Due Date = </t>
  </si>
  <si>
    <t xml:space="preserve">
Regards, 
Marlene Christopher</t>
  </si>
  <si>
    <t>P2</t>
  </si>
  <si>
    <t>P3</t>
  </si>
  <si>
    <t>P4</t>
  </si>
  <si>
    <t>P5</t>
  </si>
  <si>
    <t>P6</t>
  </si>
  <si>
    <t>P7</t>
  </si>
  <si>
    <t>P8</t>
  </si>
  <si>
    <t>P9</t>
  </si>
  <si>
    <t>P10</t>
  </si>
  <si>
    <t>KTRTextBox</t>
  </si>
  <si>
    <t>CLINNoTextBox</t>
  </si>
  <si>
    <t>CDRLNoTextBox</t>
  </si>
  <si>
    <t>ApplicableToTextBox</t>
  </si>
  <si>
    <t>KTRDueDateTextBox</t>
  </si>
  <si>
    <t>ActualDelDateTextBox</t>
  </si>
  <si>
    <t>ReviewTeamDueDateTextBox</t>
  </si>
  <si>
    <t>GovResponseDueDateTextBox</t>
  </si>
  <si>
    <t xml:space="preserve">   Re-Submit Due Date = </t>
  </si>
  <si>
    <t>KTRResubmitDateTextBox</t>
  </si>
  <si>
    <t>All,
The subject CDRL has been REVIEWED by the Government.  No further action is required at this time.</t>
  </si>
  <si>
    <t xml:space="preserve">
Regards, 
  John Doe
  Program X COTR</t>
  </si>
  <si>
    <t>Disposition Email to Contractor - APPROVED</t>
  </si>
  <si>
    <t>Disposition Email to Contractor - APPROVED WITH COMMENTS - Update Required</t>
  </si>
  <si>
    <t>Disposition Email to Contractor - APPROVED WITH COMMENTS - Update Required at NEXT planned Delivery</t>
  </si>
  <si>
    <t>Disposition Email to Contractor - REJECTED WITH COMMENTS</t>
  </si>
  <si>
    <t>Disposition Email to Contractor - REVIEWED</t>
  </si>
  <si>
    <t/>
  </si>
  <si>
    <t>Jeff</t>
  </si>
  <si>
    <t>C:\Users\Jeff\OneDrive\Documents\04_Excel Macro Tools\2020-05-15 CDRL Tool</t>
  </si>
  <si>
    <t>All,
The subject CDRL has been submitted for review.  Assigned Reviewers are on the TO: line of this email.  Key CDRL submittal/review dates and related metadata include:</t>
  </si>
  <si>
    <t xml:space="preserve">   Government Response Due Date = </t>
  </si>
  <si>
    <t>All,
The subject CDRL has been APPROVED.  The Government's records for this deliverable are shown below.  No further action is required on this deliverable at this time.</t>
  </si>
  <si>
    <t>All,
The subject CDRL has been APPROVED WITH COMMENTS, UPDATE REQUIRED.  The Government's comments are provided by attachment to this email.  The contractor's action is to resolve each comment, update the deliverable and resubmit to the Government on or before the Re-Submit Date defined below.  The Government's records for this deliverable are shown below.</t>
  </si>
  <si>
    <t>All,
The subject CDRL has been APPROVED WITH COMMENTS, UPDATE DUE AT NEXT DELIVERY.  The Government's comments are provided by attachment to this email.  The contractor's action is to resolve each comment, update the deliverable and resubmit at the next planned CDRL delivery date.  The Government's records for this deliverable are shown below.</t>
  </si>
  <si>
    <t>All,
The subject CDRL has been REJECTED WITH COMMENTS.  The Government's comments are provided by attachment to this email.  The contractor's action is to resolve each comment with its author, update the deliverable and resubmit to the Government on or before the Re-Submit Date defined below.  The Government's records for this deliverable are shown below.</t>
  </si>
  <si>
    <t>None at this time</t>
  </si>
  <si>
    <t>None</t>
  </si>
  <si>
    <t>Revised the startup and initialization macros to include a progress indicator bar and eliminate all the pop-up boxes that are confusing during startup.</t>
  </si>
  <si>
    <t>All code was in the Workbook object in the Auto_Open macro.</t>
  </si>
  <si>
    <t>The code in the workbook object now calls a macro called ProgressBar that produces a modeless form that statuses the steps of initialization and reports on them as the initialzation macros run.  Note that Workbook events are disabled at the start of the sequence so certain cells on the Dashboard don't trigger during initialization.  Workbook events are re-enabled at the end of the init sequence.</t>
  </si>
  <si>
    <t>- Intent is to protect the file from inadvertent changes by team members only looking for status</t>
  </si>
  <si>
    <t>- When the PW is provided, the user is permitted to make data edits and file backups.</t>
  </si>
  <si>
    <t>- Go to File&gt;SaveAs</t>
  </si>
  <si>
    <t>- Enter a password for modifications, then confirm it.</t>
  </si>
  <si>
    <t xml:space="preserve">Two levels of Protection are Provided:  </t>
  </si>
  <si>
    <t>1) Read/Write or Read Only access at file launch time.  Read/Write access requires a PW</t>
  </si>
  <si>
    <t>File Protection Strategy and Implementation</t>
  </si>
  <si>
    <t>2) Access to Email distribution forms is granted by Username.  Permitted Usernames are listed on worksheet "EmailDeflts", table beginning in cell B3</t>
  </si>
  <si>
    <t>- If a user opens the file with Read Only access and makes changes, they will only be able to be saved using the SaveAs capability.  This avoids changes to master file by users with Read Only access.</t>
  </si>
  <si>
    <t>- To authorized Read/Write access, a password has been established and given only those authorized to change data, typically the CM Adminstrator and selected senior team members</t>
  </si>
  <si>
    <t>- All other users (users that only use the file to get status and not change data) are intended to select READ-ONLY at file launch time</t>
  </si>
  <si>
    <t>- To set the file's PW allowing Read/Write access:</t>
  </si>
  <si>
    <t xml:space="preserve">- From the Edit CDRL form, if either of the "Go" buttons are selected to send emails, the username is first validated from the list on "EmailDeflts" worksheet, list starting in B3 </t>
  </si>
  <si>
    <t>1)  Launch Time Read/Write or Read Only Access Control</t>
  </si>
  <si>
    <t>2)  Username Access Control to Email Distribution forms</t>
  </si>
  <si>
    <t>- Select More Options&gt;Tools&gt;General Options and find this window.  Define Password as shown below.</t>
  </si>
  <si>
    <t xml:space="preserve">- The current PW is "admin1".  This PW is stored in the Excel file itself and is asked for at file launch time to permit Read/Write access.  </t>
  </si>
  <si>
    <r>
      <t>-</t>
    </r>
    <r>
      <rPr>
        <sz val="11"/>
        <color rgb="FFFF0000"/>
        <rFont val="Calibri"/>
        <family val="2"/>
        <scheme val="minor"/>
      </rPr>
      <t>NOTE:</t>
    </r>
    <r>
      <rPr>
        <sz val="11"/>
        <color theme="1"/>
        <rFont val="Calibri"/>
        <family val="2"/>
        <scheme val="minor"/>
      </rPr>
      <t xml:space="preserve">  if the file when launched is stored on OneDrive, it still opens as Read-Only because it thinks someone else has the file open with Read/Write Access.  Solution is to use file on a network drive instead of OneDrive </t>
    </r>
  </si>
  <si>
    <t>C:\Users\Jeff\Documents\00_Workarea for Macros (Saved to oneDrive when done)\CDRL Tool Backups</t>
  </si>
  <si>
    <t>2020-05-28 1154</t>
  </si>
  <si>
    <t>CDRL Tool R44-PW Protect.xlsm</t>
  </si>
  <si>
    <t>C:\Users\Jeff\Documents\00_Workarea for Macros (Saved to oneDrive when done)\CDRL Tool Backups\</t>
  </si>
  <si>
    <t>2020-05-28 1202</t>
  </si>
  <si>
    <t>R44</t>
  </si>
  <si>
    <t>Jrapp</t>
  </si>
  <si>
    <t>CDR</t>
  </si>
  <si>
    <t>Added error trapping in CDRL Title field if Title not found in the LookUps table.  When CDRL can't be found it now returns:  "ERROR: Title Not Found in LookUps" and turns the cell red with conditional formatting.</t>
  </si>
  <si>
    <t>CDRL Tile error trapping when can't find CDRL in lookup table</t>
  </si>
  <si>
    <t>None at THIS time</t>
  </si>
  <si>
    <t>Aprvd-UReqd</t>
  </si>
  <si>
    <t>Aprvd-UNxt</t>
  </si>
  <si>
    <t>Revised the startup and initialization macros to include a progress indicator bar and eliminate all the pop-up boxes that are confusing during startup.
All code was in the Workbook object in the Auto_Open macro.
The code in the workbook object now calls a macro called ProgressBar that produces a modeless form that statuses the steps of initialization and reports on them as the initialzation macros run.  Note that Workbook events are disabled at the start of the sequence so certain cells on the Dashboard don't trigger during initialization.  Workbook events are re-enabled at the end of the init sequence.
Added error trapping in CDRL Title field if Title not found in the LookUps table.  When CDRL can't be found it now returns:  "ERROR: Title Not Found in LookUps" and turns the cell red with conditional formatting.
Tuned the formulas in the days remaining fileds (cols L and Q) to purduce negative numbers of days if overdue.  Also added conditional formating so negative days go red.</t>
  </si>
  <si>
    <t>Tuned the formulas in the days remaining fileds (cols L and Q) to purduce negative numbers of days if overdue.  Also added conditional formating so negative days go red.</t>
  </si>
  <si>
    <t>Tracking-R1 worksheet, formulas in Col L and Q and conditional formating to detect negative numbers</t>
  </si>
  <si>
    <t>Dashboard:  GPOC and SETA review pivot tables have first two column to reflect due dates and days remain to the due date.</t>
  </si>
  <si>
    <t>2020-05-28 1517</t>
  </si>
  <si>
    <t>Early 2cd</t>
  </si>
  <si>
    <t>Blank Metadata: Row19, Col6</t>
  </si>
  <si>
    <t>Blank Metadata: Row19, Col7</t>
  </si>
  <si>
    <t>Blank Metadata: Row19, Col8</t>
  </si>
  <si>
    <t>State Should be Waiting Dlvry: Row19, Col9</t>
  </si>
  <si>
    <t>Good document but missed some key required data that needs updated</t>
  </si>
  <si>
    <t>none at this time</t>
  </si>
  <si>
    <t>2020-05-28 1949</t>
  </si>
  <si>
    <t>Early 4cd</t>
  </si>
  <si>
    <t>Late-Pending</t>
  </si>
  <si>
    <t>Alexander, Kristina</t>
  </si>
  <si>
    <t>Ayers, Chris</t>
  </si>
  <si>
    <t>Babauta, Mike</t>
  </si>
  <si>
    <t>Beronio, George</t>
  </si>
  <si>
    <t>Brees, Tony</t>
  </si>
  <si>
    <t>Brophy, Mike</t>
  </si>
  <si>
    <t>Brown, Bill</t>
  </si>
  <si>
    <t>Burgos, Carlos</t>
  </si>
  <si>
    <t>Byrd, Steve</t>
  </si>
  <si>
    <t>Cassidy, Jason</t>
  </si>
  <si>
    <t>Chichester, Larry</t>
  </si>
  <si>
    <t>Chilcote, Scott</t>
  </si>
  <si>
    <t>Chorney, Mike</t>
  </si>
  <si>
    <t>Chow, Bill</t>
  </si>
  <si>
    <t>Crissey, Jim</t>
  </si>
  <si>
    <t>Davenport, Ken</t>
  </si>
  <si>
    <t>Dudley, Amelia</t>
  </si>
  <si>
    <t>Dunstan, Ian</t>
  </si>
  <si>
    <t>Duvall, Lee</t>
  </si>
  <si>
    <t>Engan, Ken</t>
  </si>
  <si>
    <t>Felter, Bill</t>
  </si>
  <si>
    <t>Floro, Andrew</t>
  </si>
  <si>
    <t>Fraser, Jeff</t>
  </si>
  <si>
    <t>Good, Doug</t>
  </si>
  <si>
    <t>Halberstam, Barbara</t>
  </si>
  <si>
    <t>Hedrick-Dawson, Janice</t>
  </si>
  <si>
    <t>Hicks, Paige</t>
  </si>
  <si>
    <t>Hill, Tyrone</t>
  </si>
  <si>
    <t>Hutchins, Donovan</t>
  </si>
  <si>
    <t>Iturbe, Shirley</t>
  </si>
  <si>
    <t>Jellinek, Chris</t>
  </si>
  <si>
    <t>Lobue, Mike</t>
  </si>
  <si>
    <t>Lukas, Mike</t>
  </si>
  <si>
    <t>McCarty, Dan</t>
  </si>
  <si>
    <t>Norfleet, Jim</t>
  </si>
  <si>
    <t>Osborn, Raymund</t>
  </si>
  <si>
    <t>Ozeck, Luke</t>
  </si>
  <si>
    <t>Ozols, Mickey</t>
  </si>
  <si>
    <t>Pratt, Mark</t>
  </si>
  <si>
    <t>Quijano, Priscilla</t>
  </si>
  <si>
    <t>Rodier, Mark</t>
  </si>
  <si>
    <t>Rosengard, Phil</t>
  </si>
  <si>
    <t>Sackman, Dennis</t>
  </si>
  <si>
    <t>Salviati, John</t>
  </si>
  <si>
    <t>Schanzenbach, Jeff</t>
  </si>
  <si>
    <t>Sepantaie, Amir</t>
  </si>
  <si>
    <t>Shockley, Dave</t>
  </si>
  <si>
    <t>Sikra, Jim</t>
  </si>
  <si>
    <t>Smirnoff, James</t>
  </si>
  <si>
    <t>Traczyk, Jeff</t>
  </si>
  <si>
    <t>Treworgy, Eric</t>
  </si>
  <si>
    <t>Villagomez, Joy</t>
  </si>
  <si>
    <t>Washko, Mike</t>
  </si>
  <si>
    <t>Woods, John</t>
  </si>
  <si>
    <t>A-003</t>
  </si>
  <si>
    <t>R-009</t>
  </si>
  <si>
    <t>A-013</t>
  </si>
  <si>
    <t>A-015</t>
  </si>
  <si>
    <t>Software Maintenance Manual</t>
  </si>
  <si>
    <t>Performance Metric Report</t>
  </si>
  <si>
    <t>A-023</t>
  </si>
  <si>
    <t>Training Materials</t>
  </si>
  <si>
    <t>Hardware Maintenance Manual</t>
  </si>
  <si>
    <t>Position Handbook</t>
  </si>
  <si>
    <t>User's Guide</t>
  </si>
  <si>
    <t>TO3</t>
  </si>
  <si>
    <t>TO4</t>
  </si>
  <si>
    <t>TO5</t>
  </si>
  <si>
    <t>Data Accession List (DAL)</t>
  </si>
  <si>
    <t>A-038</t>
  </si>
  <si>
    <t>A-056</t>
  </si>
  <si>
    <t>End of Contract Transition Package</t>
  </si>
  <si>
    <t>Contractor Program Protection Plan (PPP)</t>
  </si>
  <si>
    <t>Service Contract Report (SCR)</t>
  </si>
  <si>
    <t>Readiness Review Package</t>
  </si>
  <si>
    <t>A-088</t>
  </si>
  <si>
    <t>A-089</t>
  </si>
  <si>
    <t>A-090</t>
  </si>
  <si>
    <t>E-008</t>
  </si>
  <si>
    <t>Facility Standard Operating Procedures</t>
  </si>
  <si>
    <t>Long-Term Trending / Obsolescence Report</t>
  </si>
  <si>
    <t>Engineering Drawings</t>
  </si>
  <si>
    <t>E-036</t>
  </si>
  <si>
    <t>As Built Configuration List (ASCL)</t>
  </si>
  <si>
    <t>F-002</t>
  </si>
  <si>
    <t>L-003</t>
  </si>
  <si>
    <t>L-005</t>
  </si>
  <si>
    <t>L-013</t>
  </si>
  <si>
    <t>Contract Funds Status Report (CFSR)</t>
  </si>
  <si>
    <t>Contractor Cost and Technical Data Report</t>
  </si>
  <si>
    <t>Facility Requirements Document (FRD)</t>
  </si>
  <si>
    <t>Integrated Logistics Support Plan</t>
  </si>
  <si>
    <t>L-015</t>
  </si>
  <si>
    <t>L-016</t>
  </si>
  <si>
    <t>L-017</t>
  </si>
  <si>
    <t>L-025</t>
  </si>
  <si>
    <t>L-026</t>
  </si>
  <si>
    <t>R-003</t>
  </si>
  <si>
    <t>R-005</t>
  </si>
  <si>
    <t>R-044</t>
  </si>
  <si>
    <t>R-045</t>
  </si>
  <si>
    <t>T-004</t>
  </si>
  <si>
    <t>T-014</t>
  </si>
  <si>
    <t>T-020</t>
  </si>
  <si>
    <t>Site Survey Results</t>
  </si>
  <si>
    <t>Risk Management Framework (RMF) Deliverables</t>
  </si>
  <si>
    <t>Concept of Operations (CONOPS)</t>
  </si>
  <si>
    <t>Requirements Traceability Verification Matrix</t>
  </si>
  <si>
    <t>Detail Specification Documents</t>
  </si>
  <si>
    <t>Hardware / Software Build Plan</t>
  </si>
  <si>
    <t>Test and Evaluation Program Plan (TEPP)</t>
  </si>
  <si>
    <t>Test Report</t>
  </si>
  <si>
    <t>Test Procedures</t>
  </si>
  <si>
    <t>ERROR: Title Not Found in LookUps</t>
  </si>
  <si>
    <t>8-CommentResp</t>
  </si>
  <si>
    <t>Comments</t>
  </si>
  <si>
    <t>- Enter Day Type in cell D2:  CD (Calendar days) or BD (business</t>
  </si>
  <si>
    <t xml:space="preserve">  days taking into account Federal Holidays)</t>
  </si>
  <si>
    <t>PO Notes</t>
  </si>
  <si>
    <t>CDRLs in GPOC Review State</t>
  </si>
  <si>
    <t>CDRLs in SETA Review State</t>
  </si>
  <si>
    <t>CDRLs Late to Due Date</t>
  </si>
  <si>
    <t>TEST</t>
  </si>
  <si>
    <t>State Inconsistent: Row21, Col9</t>
  </si>
  <si>
    <t>TEST 2</t>
  </si>
  <si>
    <t>State Inconsistent: Row22, Col9</t>
  </si>
  <si>
    <t>TEST 3</t>
  </si>
  <si>
    <t>State Inconsistent: Row23, Col9</t>
  </si>
  <si>
    <t>30 Day CDRL Look-Ahead (CDRLS due between 01/29/2021 and 02/28/2021)</t>
  </si>
  <si>
    <t>Number of Artifacts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</si>
</sst>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
    <numFmt numFmtId="165" formatCode="ddd\,\ m/d/yyyy"/>
    <numFmt numFmtId="166" formatCode="ddd"/>
    <numFmt numFmtId="167" formatCode="m/d/yy;@"/>
    <numFmt numFmtId="168" formatCode="mm/dd/yy;@"/>
    <numFmt numFmtId="169" formatCode="m/dd/yyyy"/>
  </numFmts>
  <fonts count="25" x14ac:knownFonts="1">
    <font>
      <sz val="11"/>
      <color theme="1"/>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sz val="10"/>
      <color theme="0"/>
      <name val="Calibri"/>
      <family val="2"/>
      <scheme val="minor"/>
    </font>
    <font>
      <sz val="8"/>
      <name val="Calibri"/>
      <family val="2"/>
      <scheme val="minor"/>
    </font>
    <font>
      <u/>
      <sz val="11"/>
      <color theme="10"/>
      <name val="Calibri"/>
      <family val="2"/>
      <scheme val="minor"/>
    </font>
    <font>
      <b/>
      <u/>
      <sz val="11"/>
      <color theme="1"/>
      <name val="Calibri"/>
      <family val="2"/>
      <scheme val="minor"/>
    </font>
    <font>
      <b/>
      <sz val="11"/>
      <color rgb="FFFF0000"/>
      <name val="Calibri"/>
      <family val="2"/>
      <scheme val="minor"/>
    </font>
    <font>
      <b/>
      <i/>
      <sz val="12"/>
      <color theme="1"/>
      <name val="Calibri"/>
      <family val="2"/>
      <scheme val="minor"/>
    </font>
    <font>
      <b/>
      <sz val="11"/>
      <color theme="0"/>
      <name val="Calibri"/>
      <family val="2"/>
      <scheme val="minor"/>
    </font>
    <font>
      <i/>
      <sz val="11"/>
      <color theme="1"/>
      <name val="Calibri"/>
      <family val="2"/>
      <scheme val="minor"/>
    </font>
    <font>
      <b/>
      <sz val="11"/>
      <color rgb="FFFFFF00"/>
      <name val="Calibri"/>
      <family val="2"/>
      <scheme val="minor"/>
    </font>
    <font>
      <b/>
      <i/>
      <sz val="16"/>
      <color theme="0"/>
      <name val="Calibri"/>
      <family val="2"/>
      <scheme val="minor"/>
    </font>
    <font>
      <b/>
      <i/>
      <sz val="12"/>
      <color theme="0"/>
      <name val="Calibri"/>
      <family val="2"/>
      <scheme val="minor"/>
    </font>
    <font>
      <sz val="11"/>
      <color rgb="FFFF0000"/>
      <name val="Calibri"/>
      <family val="2"/>
      <scheme val="minor"/>
    </font>
    <font>
      <b/>
      <sz val="12"/>
      <color theme="1"/>
      <name val="Calibri"/>
      <family val="2"/>
      <scheme val="minor"/>
    </font>
    <font>
      <b/>
      <u/>
      <sz val="12"/>
      <color theme="1"/>
      <name val="Calibri"/>
      <family val="2"/>
      <scheme val="minor"/>
    </font>
    <font>
      <sz val="9"/>
      <color indexed="81"/>
      <name val="Tahoma"/>
      <family val="2"/>
    </font>
    <font>
      <b/>
      <sz val="9"/>
      <color indexed="81"/>
      <name val="Tahoma"/>
      <family val="2"/>
    </font>
    <font>
      <b/>
      <sz val="14"/>
      <color theme="0"/>
      <name val="Calibri"/>
      <family val="2"/>
      <scheme val="minor"/>
    </font>
    <font>
      <b/>
      <sz val="11"/>
      <color rgb="FF000000"/>
      <name val="Calibri"/>
      <family val="2"/>
    </font>
    <font>
      <b/>
      <sz val="10"/>
      <color rgb="FF000000"/>
      <name val="Calibri"/>
      <family val="2"/>
    </font>
    <font>
      <b/>
      <sz val="8"/>
      <color rgb="FF000000"/>
      <name val="Calibri"/>
      <family val="2"/>
    </font>
    <font>
      <b/>
      <sz val="12"/>
      <color rgb="FF0000FF"/>
      <name val="Calibri"/>
      <family val="2"/>
    </font>
  </fonts>
  <fills count="25">
    <fill>
      <patternFill patternType="none"/>
    </fill>
    <fill>
      <patternFill patternType="gray125"/>
    </fill>
    <fill>
      <patternFill patternType="solid">
        <fgColor theme="1"/>
        <bgColor indexed="64"/>
      </patternFill>
    </fill>
    <fill>
      <patternFill patternType="solid">
        <fgColor rgb="FF366092"/>
        <bgColor indexed="64"/>
      </patternFill>
    </fill>
    <fill>
      <patternFill patternType="solid">
        <fgColor rgb="FF92CDDC"/>
        <bgColor indexed="64"/>
      </patternFill>
    </fill>
    <fill>
      <patternFill patternType="solid">
        <fgColor rgb="FFFCD5B4"/>
        <bgColor indexed="64"/>
      </patternFill>
    </fill>
    <fill>
      <patternFill patternType="solid">
        <fgColor rgb="FFD8E4BC"/>
        <bgColor indexed="64"/>
      </patternFill>
    </fill>
    <fill>
      <patternFill patternType="solid">
        <fgColor rgb="FFCCCCFF"/>
        <bgColor indexed="64"/>
      </patternFill>
    </fill>
    <fill>
      <patternFill patternType="solid">
        <fgColor rgb="FF66CCFF"/>
        <bgColor indexed="64"/>
      </patternFill>
    </fill>
    <fill>
      <patternFill patternType="solid">
        <fgColor rgb="FFFFFF00"/>
        <bgColor indexed="64"/>
      </patternFill>
    </fill>
    <fill>
      <patternFill patternType="solid">
        <fgColor rgb="FF002060"/>
        <bgColor indexed="64"/>
      </patternFill>
    </fill>
    <fill>
      <patternFill patternType="solid">
        <fgColor theme="9"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rgb="FF92D050"/>
        <bgColor indexed="64"/>
      </patternFill>
    </fill>
    <fill>
      <patternFill patternType="solid">
        <fgColor rgb="FF0066FF"/>
        <bgColor indexed="64"/>
      </patternFill>
    </fill>
    <fill>
      <patternFill patternType="solid">
        <fgColor theme="3" tint="-0.249977111117893"/>
        <bgColor indexed="64"/>
      </patternFill>
    </fill>
    <fill>
      <patternFill patternType="solid">
        <fgColor rgb="FFFF5050"/>
        <bgColor indexed="64"/>
      </patternFill>
    </fill>
    <fill>
      <patternFill patternType="solid">
        <fgColor rgb="FFFFFF66"/>
        <bgColor indexed="64"/>
      </patternFill>
    </fill>
    <fill>
      <patternFill patternType="solid">
        <fgColor theme="0" tint="-0.14999847407452621"/>
        <bgColor indexed="64"/>
      </patternFill>
    </fill>
    <fill>
      <patternFill patternType="solid">
        <fgColor theme="0" tint="-0.149967955565050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bottom/>
      <diagonal/>
    </border>
    <border>
      <left style="thin">
        <color theme="0"/>
      </left>
      <right style="thin">
        <color theme="0"/>
      </right>
      <top style="thin">
        <color theme="0"/>
      </top>
      <bottom style="thin">
        <color theme="0"/>
      </bottom>
      <diagonal/>
    </border>
  </borders>
  <cellStyleXfs count="2">
    <xf numFmtId="0" fontId="0" fillId="0" borderId="0"/>
    <xf numFmtId="0" fontId="6" fillId="0" borderId="0" applyNumberFormat="0" applyFill="0" applyBorder="0" applyAlignment="0" applyProtection="0"/>
  </cellStyleXfs>
  <cellXfs count="136">
    <xf numFmtId="0" fontId="0" fillId="0" borderId="0" xfId="0"/>
    <xf numFmtId="0" fontId="0" fillId="0" borderId="0" xfId="0" applyAlignment="1">
      <alignment horizontal="center"/>
    </xf>
    <xf numFmtId="0" fontId="3" fillId="2" borderId="0" xfId="0" applyFont="1" applyFill="1" applyAlignment="1">
      <alignment horizontal="center" vertical="center"/>
    </xf>
    <xf numFmtId="0" fontId="0" fillId="3" borderId="0" xfId="0" applyFill="1"/>
    <xf numFmtId="0" fontId="0" fillId="0" borderId="1" xfId="0" applyBorder="1" applyAlignment="1">
      <alignment horizontal="center" vertical="center"/>
    </xf>
    <xf numFmtId="0" fontId="1" fillId="0" borderId="0" xfId="0" applyFont="1"/>
    <xf numFmtId="0" fontId="1" fillId="0" borderId="0" xfId="0" applyFont="1" applyAlignment="1">
      <alignment horizontal="center" vertical="center" wrapText="1"/>
    </xf>
    <xf numFmtId="0" fontId="4" fillId="2" borderId="0" xfId="0" applyFont="1" applyFill="1" applyAlignment="1">
      <alignment horizontal="left" vertical="center"/>
    </xf>
    <xf numFmtId="0" fontId="0" fillId="0" borderId="0" xfId="0" applyAlignment="1">
      <alignment wrapText="1"/>
    </xf>
    <xf numFmtId="0" fontId="0" fillId="0" borderId="0" xfId="0" applyAlignment="1">
      <alignment vertical="top"/>
    </xf>
    <xf numFmtId="0" fontId="0" fillId="0" borderId="0" xfId="0" applyAlignment="1">
      <alignment horizontal="left" vertical="top"/>
    </xf>
    <xf numFmtId="0" fontId="0" fillId="8" borderId="0" xfId="0" applyFill="1" applyAlignment="1">
      <alignment horizontal="left" vertical="top" wrapText="1"/>
    </xf>
    <xf numFmtId="0" fontId="0" fillId="8" borderId="0" xfId="0" applyFill="1"/>
    <xf numFmtId="0" fontId="1" fillId="6" borderId="2" xfId="0" applyFont="1" applyFill="1" applyBorder="1" applyAlignment="1">
      <alignment horizontal="center" vertical="center"/>
    </xf>
    <xf numFmtId="0" fontId="1" fillId="6" borderId="2" xfId="0" applyFont="1" applyFill="1" applyBorder="1" applyAlignment="1">
      <alignment horizontal="center" textRotation="90"/>
    </xf>
    <xf numFmtId="0" fontId="1" fillId="6" borderId="1" xfId="0" applyFont="1" applyFill="1" applyBorder="1" applyAlignment="1">
      <alignment horizontal="center"/>
    </xf>
    <xf numFmtId="0" fontId="1" fillId="6" borderId="1" xfId="0" applyFont="1" applyFill="1" applyBorder="1" applyAlignment="1">
      <alignment horizontal="center" wrapText="1"/>
    </xf>
    <xf numFmtId="0" fontId="0" fillId="0" borderId="0" xfId="0"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3" borderId="0" xfId="0" applyFill="1" applyAlignment="1">
      <alignment horizontal="center"/>
    </xf>
    <xf numFmtId="0" fontId="2" fillId="2" borderId="0" xfId="0" applyFont="1" applyFill="1" applyAlignment="1">
      <alignment horizontal="center"/>
    </xf>
    <xf numFmtId="0" fontId="0" fillId="3" borderId="0" xfId="0" applyFill="1" applyAlignment="1">
      <alignment horizontal="left" vertical="top"/>
    </xf>
    <xf numFmtId="0" fontId="2" fillId="2" borderId="0" xfId="0" applyFont="1" applyFill="1" applyAlignment="1">
      <alignment horizontal="left" vertical="top"/>
    </xf>
    <xf numFmtId="0" fontId="7" fillId="0" borderId="0" xfId="0" applyFont="1"/>
    <xf numFmtId="0" fontId="8" fillId="9" borderId="0" xfId="0" applyFont="1" applyFill="1"/>
    <xf numFmtId="0" fontId="1" fillId="0" borderId="0" xfId="0" applyFont="1" applyAlignment="1">
      <alignment horizontal="center"/>
    </xf>
    <xf numFmtId="0" fontId="6" fillId="0" borderId="0" xfId="1"/>
    <xf numFmtId="0" fontId="9" fillId="0" borderId="0" xfId="0" applyFont="1"/>
    <xf numFmtId="0" fontId="0" fillId="0" borderId="0" xfId="0" applyAlignment="1">
      <alignment horizontal="left"/>
    </xf>
    <xf numFmtId="0" fontId="2" fillId="0" borderId="0" xfId="0" applyFont="1"/>
    <xf numFmtId="0" fontId="2" fillId="10" borderId="0" xfId="0" applyFont="1" applyFill="1" applyAlignment="1">
      <alignment horizontal="center" vertical="center" wrapText="1"/>
    </xf>
    <xf numFmtId="0" fontId="2" fillId="11" borderId="0" xfId="0" applyFont="1" applyFill="1" applyAlignment="1">
      <alignment horizontal="center" vertical="center" wrapText="1"/>
    </xf>
    <xf numFmtId="0" fontId="0" fillId="0" borderId="0" xfId="0" applyAlignment="1">
      <alignment horizontal="center" vertical="center" wrapText="1"/>
    </xf>
    <xf numFmtId="0" fontId="2" fillId="12" borderId="0" xfId="0" applyFont="1" applyFill="1" applyAlignment="1">
      <alignment horizontal="center" vertical="center" wrapText="1"/>
    </xf>
    <xf numFmtId="0" fontId="2" fillId="0" borderId="0" xfId="0" applyFont="1" applyAlignment="1">
      <alignment horizontal="center" vertical="center" wrapText="1"/>
    </xf>
    <xf numFmtId="0" fontId="2" fillId="13" borderId="0" xfId="0" applyFont="1" applyFill="1" applyAlignment="1">
      <alignment horizontal="center" vertical="center" wrapText="1"/>
    </xf>
    <xf numFmtId="0" fontId="0" fillId="14" borderId="0" xfId="0" applyFill="1"/>
    <xf numFmtId="0" fontId="0" fillId="14" borderId="0" xfId="0" applyFill="1" applyAlignment="1">
      <alignment horizontal="center"/>
    </xf>
    <xf numFmtId="164" fontId="0" fillId="14" borderId="0" xfId="0" applyNumberFormat="1" applyFill="1" applyAlignment="1">
      <alignment horizontal="center"/>
    </xf>
    <xf numFmtId="0" fontId="0" fillId="0" borderId="1" xfId="0" applyBorder="1"/>
    <xf numFmtId="0" fontId="0" fillId="14" borderId="0" xfId="0" applyNumberFormat="1" applyFill="1" applyAlignment="1">
      <alignment horizontal="center"/>
    </xf>
    <xf numFmtId="0" fontId="0" fillId="14" borderId="1" xfId="0" applyFill="1" applyBorder="1" applyAlignment="1">
      <alignment horizontal="center"/>
    </xf>
    <xf numFmtId="0" fontId="1" fillId="4" borderId="1" xfId="0" applyFont="1" applyFill="1" applyBorder="1" applyAlignment="1">
      <alignment horizontal="center" vertical="center" wrapText="1"/>
    </xf>
    <xf numFmtId="165" fontId="1" fillId="0" borderId="1" xfId="0" applyNumberFormat="1" applyFont="1" applyBorder="1" applyAlignment="1">
      <alignment horizontal="center"/>
    </xf>
    <xf numFmtId="0" fontId="1" fillId="0" borderId="1" xfId="0" applyFont="1" applyBorder="1" applyAlignment="1">
      <alignment horizontal="center"/>
    </xf>
    <xf numFmtId="0" fontId="0" fillId="0" borderId="0" xfId="0" quotePrefix="1" applyAlignment="1">
      <alignment horizontal="left" indent="1"/>
    </xf>
    <xf numFmtId="0" fontId="0" fillId="15" borderId="0" xfId="0" applyFill="1"/>
    <xf numFmtId="0" fontId="0" fillId="7" borderId="0" xfId="0" applyFill="1"/>
    <xf numFmtId="14" fontId="0" fillId="15" borderId="0" xfId="0" applyNumberFormat="1" applyFill="1" applyAlignment="1">
      <alignment horizontal="center"/>
    </xf>
    <xf numFmtId="14" fontId="0" fillId="7" borderId="0" xfId="0" applyNumberFormat="1" applyFill="1" applyAlignment="1">
      <alignment horizontal="center"/>
    </xf>
    <xf numFmtId="0" fontId="0" fillId="4" borderId="0" xfId="0" applyFill="1"/>
    <xf numFmtId="0" fontId="1" fillId="4" borderId="0" xfId="0" applyFont="1" applyFill="1" applyBorder="1" applyAlignment="1">
      <alignment horizontal="left" vertical="center"/>
    </xf>
    <xf numFmtId="166" fontId="0" fillId="15" borderId="0" xfId="0" applyNumberFormat="1" applyFill="1" applyAlignment="1">
      <alignment horizontal="center"/>
    </xf>
    <xf numFmtId="166" fontId="0" fillId="7" borderId="0" xfId="0" applyNumberFormat="1" applyFill="1" applyAlignment="1">
      <alignment horizontal="center"/>
    </xf>
    <xf numFmtId="0" fontId="11" fillId="0" borderId="0" xfId="0" applyFont="1"/>
    <xf numFmtId="0" fontId="1" fillId="16" borderId="1" xfId="0" applyFont="1" applyFill="1" applyBorder="1"/>
    <xf numFmtId="0" fontId="1" fillId="16" borderId="1" xfId="0" applyFont="1" applyFill="1" applyBorder="1" applyAlignment="1">
      <alignment horizontal="center"/>
    </xf>
    <xf numFmtId="0" fontId="1" fillId="16" borderId="1" xfId="0" applyFont="1" applyFill="1" applyBorder="1" applyAlignment="1">
      <alignment horizontal="center" vertical="top"/>
    </xf>
    <xf numFmtId="0" fontId="0" fillId="0" borderId="0" xfId="0" applyAlignment="1">
      <alignment horizontal="center" vertical="top"/>
    </xf>
    <xf numFmtId="0" fontId="0" fillId="0" borderId="1" xfId="0" applyBorder="1" applyAlignment="1">
      <alignment horizontal="center" vertical="top" wrapText="1"/>
    </xf>
    <xf numFmtId="167" fontId="0" fillId="0" borderId="1" xfId="0" applyNumberFormat="1" applyBorder="1" applyAlignment="1">
      <alignment horizontal="center" vertical="top" wrapText="1"/>
    </xf>
    <xf numFmtId="0" fontId="1" fillId="5"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vertical="center"/>
    </xf>
    <xf numFmtId="0" fontId="1" fillId="4" borderId="12" xfId="0" applyFont="1" applyFill="1" applyBorder="1" applyAlignment="1">
      <alignment horizontal="center" vertical="center" wrapText="1"/>
    </xf>
    <xf numFmtId="0" fontId="1" fillId="5" borderId="12" xfId="0" applyFont="1" applyFill="1" applyBorder="1" applyAlignment="1">
      <alignment horizontal="center" vertical="center" wrapText="1"/>
    </xf>
    <xf numFmtId="0" fontId="1" fillId="6" borderId="12" xfId="0" applyFont="1" applyFill="1" applyBorder="1" applyAlignment="1">
      <alignment horizontal="center" vertical="center" wrapText="1"/>
    </xf>
    <xf numFmtId="0" fontId="1" fillId="7" borderId="12" xfId="0" applyFont="1" applyFill="1" applyBorder="1" applyAlignment="1">
      <alignment horizontal="center" vertical="center" wrapText="1"/>
    </xf>
    <xf numFmtId="0" fontId="0" fillId="0" borderId="11" xfId="0" applyBorder="1" applyAlignment="1">
      <alignment horizontal="center"/>
    </xf>
    <xf numFmtId="0" fontId="0" fillId="14" borderId="11" xfId="0" applyFill="1" applyBorder="1" applyAlignment="1">
      <alignment horizontal="left" vertical="top"/>
    </xf>
    <xf numFmtId="0" fontId="0" fillId="0" borderId="11" xfId="0" applyBorder="1"/>
    <xf numFmtId="0" fontId="0" fillId="14" borderId="11" xfId="0" applyFill="1" applyBorder="1" applyAlignment="1">
      <alignment horizontal="center"/>
    </xf>
    <xf numFmtId="14" fontId="0" fillId="0" borderId="11" xfId="0" applyNumberFormat="1" applyBorder="1" applyAlignment="1">
      <alignment horizontal="center"/>
    </xf>
    <xf numFmtId="0" fontId="0" fillId="0" borderId="11" xfId="0" applyBorder="1" applyAlignment="1">
      <alignment horizontal="left"/>
    </xf>
    <xf numFmtId="168" fontId="0" fillId="0" borderId="11" xfId="0" applyNumberFormat="1" applyBorder="1" applyAlignment="1">
      <alignment horizontal="center"/>
    </xf>
    <xf numFmtId="0" fontId="0" fillId="14" borderId="11" xfId="0" applyFill="1" applyBorder="1"/>
    <xf numFmtId="0" fontId="0" fillId="14" borderId="11" xfId="0" applyNumberFormat="1" applyFill="1" applyBorder="1" applyAlignment="1">
      <alignment horizontal="left" vertical="top"/>
    </xf>
    <xf numFmtId="0" fontId="0" fillId="14" borderId="11" xfId="0" applyNumberFormat="1" applyFill="1" applyBorder="1" applyAlignment="1">
      <alignment horizontal="center"/>
    </xf>
    <xf numFmtId="0" fontId="0" fillId="14" borderId="11" xfId="0" applyNumberFormat="1" applyFill="1" applyBorder="1"/>
    <xf numFmtId="0" fontId="0" fillId="0" borderId="11" xfId="0" applyBorder="1" applyAlignment="1">
      <alignment horizontal="center" vertical="top"/>
    </xf>
    <xf numFmtId="0" fontId="0" fillId="17" borderId="0" xfId="0" applyFill="1"/>
    <xf numFmtId="0" fontId="0" fillId="17" borderId="0" xfId="0" applyFill="1" applyAlignment="1">
      <alignment horizontal="center"/>
    </xf>
    <xf numFmtId="0" fontId="0" fillId="0" borderId="0" xfId="0" pivotButton="1" applyAlignment="1">
      <alignment horizontal="center" vertical="center" wrapText="1"/>
    </xf>
    <xf numFmtId="0" fontId="0" fillId="0" borderId="0" xfId="0" pivotButton="1" applyAlignment="1">
      <alignment horizontal="left" vertical="center" wrapText="1"/>
    </xf>
    <xf numFmtId="0" fontId="12" fillId="17" borderId="13" xfId="0" applyFont="1" applyFill="1" applyBorder="1" applyAlignment="1">
      <alignment horizontal="center"/>
    </xf>
    <xf numFmtId="0" fontId="10" fillId="17" borderId="0" xfId="0" applyFont="1" applyFill="1" applyAlignment="1">
      <alignment horizontal="center" vertical="center"/>
    </xf>
    <xf numFmtId="0" fontId="10" fillId="17" borderId="0" xfId="0" applyFont="1" applyFill="1" applyAlignment="1">
      <alignment horizontal="center" vertical="center" wrapText="1"/>
    </xf>
    <xf numFmtId="169" fontId="0" fillId="0" borderId="11" xfId="0" applyNumberFormat="1" applyBorder="1" applyAlignment="1">
      <alignment horizontal="center"/>
    </xf>
    <xf numFmtId="0" fontId="13" fillId="17" borderId="0" xfId="0" applyFont="1" applyFill="1"/>
    <xf numFmtId="0" fontId="9" fillId="0" borderId="0" xfId="0" applyFont="1" applyAlignment="1">
      <alignment horizontal="left"/>
    </xf>
    <xf numFmtId="14" fontId="0" fillId="0" borderId="0" xfId="0" applyNumberFormat="1" applyAlignment="1">
      <alignment horizontal="center"/>
    </xf>
    <xf numFmtId="0" fontId="2" fillId="20" borderId="0" xfId="0" applyFont="1" applyFill="1" applyAlignment="1">
      <alignment horizontal="center"/>
    </xf>
    <xf numFmtId="0" fontId="14" fillId="20" borderId="0" xfId="0" applyFont="1" applyFill="1" applyAlignment="1">
      <alignment horizontal="left"/>
    </xf>
    <xf numFmtId="0" fontId="0" fillId="0" borderId="0" xfId="0" pivotButton="1" applyAlignment="1">
      <alignment horizontal="center"/>
    </xf>
    <xf numFmtId="0" fontId="0" fillId="0" borderId="0" xfId="0" applyNumberFormat="1" applyAlignment="1">
      <alignment horizontal="center"/>
    </xf>
    <xf numFmtId="0" fontId="0" fillId="0" borderId="0" xfId="0" pivotButton="1" applyAlignment="1">
      <alignment horizontal="left"/>
    </xf>
    <xf numFmtId="0" fontId="0" fillId="19" borderId="0" xfId="0" applyFill="1" applyAlignment="1">
      <alignment horizontal="center" vertical="center" wrapText="1"/>
    </xf>
    <xf numFmtId="0" fontId="0" fillId="21" borderId="0" xfId="0" applyFill="1" applyAlignment="1">
      <alignment horizontal="center" vertical="center" wrapText="1"/>
    </xf>
    <xf numFmtId="0" fontId="0" fillId="18" borderId="0" xfId="0" applyFill="1" applyAlignment="1">
      <alignment horizontal="center" vertical="center" wrapText="1"/>
    </xf>
    <xf numFmtId="0" fontId="1" fillId="9" borderId="0" xfId="0" applyFont="1" applyFill="1"/>
    <xf numFmtId="0" fontId="0" fillId="0" borderId="0" xfId="0" applyAlignment="1">
      <alignment horizontal="right"/>
    </xf>
    <xf numFmtId="0" fontId="0" fillId="0" borderId="0" xfId="0" applyAlignment="1">
      <alignment horizontal="right" vertical="top"/>
    </xf>
    <xf numFmtId="0" fontId="0" fillId="6" borderId="1" xfId="0" applyFill="1" applyBorder="1" applyAlignment="1">
      <alignment wrapText="1"/>
    </xf>
    <xf numFmtId="0" fontId="0" fillId="23" borderId="1" xfId="0" applyFill="1" applyBorder="1"/>
    <xf numFmtId="0" fontId="0" fillId="23" borderId="1" xfId="0" applyFill="1" applyBorder="1" applyAlignment="1">
      <alignment wrapText="1"/>
    </xf>
    <xf numFmtId="0" fontId="0" fillId="23" borderId="1" xfId="0" applyFill="1" applyBorder="1" applyAlignment="1">
      <alignment vertical="top" wrapText="1"/>
    </xf>
    <xf numFmtId="0" fontId="0" fillId="6" borderId="1" xfId="0" applyFill="1" applyBorder="1" applyAlignment="1">
      <alignment vertical="top" wrapText="1"/>
    </xf>
    <xf numFmtId="0" fontId="0" fillId="0" borderId="4"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 xfId="0" applyBorder="1" applyAlignment="1">
      <alignment horizontal="left" vertical="top"/>
    </xf>
    <xf numFmtId="0" fontId="0" fillId="0" borderId="0" xfId="0" quotePrefix="1"/>
    <xf numFmtId="0" fontId="15" fillId="0" borderId="0" xfId="0" quotePrefix="1" applyFont="1"/>
    <xf numFmtId="0" fontId="16" fillId="0" borderId="0" xfId="0" applyFont="1"/>
    <xf numFmtId="0" fontId="17" fillId="0" borderId="0" xfId="0" applyFont="1" applyAlignment="1">
      <alignment vertical="center"/>
    </xf>
    <xf numFmtId="0" fontId="1" fillId="0" borderId="0" xfId="0" quotePrefix="1" applyFont="1"/>
    <xf numFmtId="0" fontId="0" fillId="0" borderId="1" xfId="0" quotePrefix="1" applyBorder="1" applyAlignment="1">
      <alignment horizontal="left" vertical="top" wrapText="1"/>
    </xf>
    <xf numFmtId="0" fontId="0" fillId="0" borderId="1" xfId="0" applyBorder="1" applyAlignment="1">
      <alignment horizontal="left" vertical="top" wrapText="1"/>
    </xf>
    <xf numFmtId="0" fontId="0" fillId="0" borderId="0" xfId="0" applyAlignment="1">
      <alignment horizontal="left" vertical="top" wrapText="1"/>
    </xf>
    <xf numFmtId="0" fontId="20" fillId="17" borderId="0" xfId="0" applyFont="1" applyFill="1" applyAlignment="1">
      <alignment horizontal="center" vertical="center"/>
    </xf>
    <xf numFmtId="0" fontId="0" fillId="18" borderId="0" xfId="0" applyFill="1" applyAlignment="1">
      <alignment horizontal="center"/>
    </xf>
    <xf numFmtId="0" fontId="0" fillId="22" borderId="0" xfId="0" applyFill="1" applyAlignment="1">
      <alignment horizontal="center"/>
    </xf>
    <xf numFmtId="0" fontId="0" fillId="21" borderId="0" xfId="0" applyFill="1" applyAlignment="1">
      <alignment horizontal="center"/>
    </xf>
    <xf numFmtId="169" fontId="0" fillId="0" borderId="11" xfId="0" applyNumberFormat="1" applyBorder="1"/>
    <xf numFmtId="14" fontId="0" fillId="0" borderId="0" xfId="0" applyNumberFormat="1"/>
    <xf numFmtId="0" fontId="14" fillId="20" borderId="0" xfId="0" applyFont="1" applyFill="1" applyAlignment="1">
      <alignment horizontal="center"/>
    </xf>
    <xf numFmtId="0" fontId="0" fillId="24" borderId="11" xfId="0" applyNumberFormat="1" applyFill="1" applyBorder="1" applyAlignment="1">
      <alignment horizontal="center"/>
    </xf>
    <xf numFmtId="0" fontId="1" fillId="7" borderId="2" xfId="0" applyFont="1" applyFill="1" applyBorder="1" applyAlignment="1">
      <alignment horizontal="center" vertical="center" wrapText="1"/>
    </xf>
  </cellXfs>
  <cellStyles count="2">
    <cellStyle name="Hyperlink" xfId="1" builtinId="8"/>
    <cellStyle name="Normal" xfId="0" builtinId="0"/>
  </cellStyles>
  <dxfs count="602">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fill>
        <patternFill>
          <bgColor rgb="FF92D050"/>
        </patternFill>
      </fill>
    </dxf>
    <dxf>
      <fill>
        <patternFill patternType="solid"/>
      </fill>
    </dxf>
    <dxf>
      <fill>
        <patternFill>
          <bgColor rgb="FFFF5050"/>
        </patternFill>
      </fill>
    </dxf>
    <dxf>
      <fill>
        <patternFill patternType="solid"/>
      </fill>
    </dxf>
    <dxf>
      <fill>
        <patternFill>
          <bgColor rgb="FF0066FF"/>
        </patternFill>
      </fill>
    </dxf>
    <dxf>
      <fill>
        <patternFill patternType="solid"/>
      </fill>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0" formatCode="General"/>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center" textRotation="0" wrapText="0" indent="0" justifyLastLine="0" shrinkToFit="0" readingOrder="0"/>
      <border diagonalUp="0" diagonalDown="0" outline="0">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top/>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D8E4BC"/>
        </patternFill>
      </fill>
      <alignment horizontal="center" vertical="bottom" textRotation="90" wrapText="0"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theme="0" tint="-0.249977111117893"/>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9" formatCode="m/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9" formatCode="m/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9" formatCode="m/d/yyyy"/>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numFmt numFmtId="168" formatCode="mm/dd/yy;@"/>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9" formatCode="m/dd/yyyy"/>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9" formatCode="m/d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9" formatCode="m/d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0" formatCode="General"/>
      <fill>
        <patternFill patternType="solid">
          <fgColor indexed="64"/>
          <bgColor theme="0" tint="-0.249977111117893"/>
        </patternFill>
      </fill>
      <alignment horizontal="left" vertical="top"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CCCCFF"/>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66"/>
        </patternFill>
      </fill>
    </dxf>
    <dxf>
      <fill>
        <patternFill>
          <bgColor rgb="FF92D050"/>
        </patternFill>
      </fill>
    </dxf>
    <dxf>
      <fill>
        <patternFill>
          <bgColor rgb="FFFFFF66"/>
        </patternFill>
      </fill>
    </dxf>
    <dxf>
      <fill>
        <patternFill>
          <bgColor rgb="FF00B0F0"/>
        </patternFill>
      </fill>
    </dxf>
    <dxf>
      <fill>
        <patternFill>
          <bgColor rgb="FF92D050"/>
        </patternFill>
      </fill>
    </dxf>
    <dxf>
      <fill>
        <patternFill>
          <bgColor rgb="FFDA9694"/>
        </patternFill>
      </fill>
    </dxf>
    <dxf>
      <font>
        <color rgb="FF9C0006"/>
      </font>
      <fill>
        <patternFill>
          <bgColor rgb="FFFFC7CE"/>
        </patternFill>
      </fill>
    </dxf>
    <dxf>
      <fill>
        <patternFill patternType="solid">
          <fgColor theme="4" tint="0.79998168889431442"/>
          <bgColor theme="4" tint="0.79998168889431442"/>
        </patternFill>
      </fill>
      <border>
        <top style="thin">
          <color rgb="FFDCE6F1"/>
        </top>
        <bottom style="thin">
          <color rgb="FFDCE6F1"/>
        </bottom>
      </border>
    </dxf>
    <dxf>
      <fill>
        <patternFill patternType="none">
          <fgColor indexed="64"/>
          <bgColor auto="1"/>
        </patternFill>
      </fill>
      <border>
        <top style="thin">
          <color rgb="FFDCE6F1"/>
        </top>
        <bottom style="thin">
          <color rgb="FFDCE6F1"/>
        </bottom>
      </border>
    </dxf>
    <dxf>
      <font>
        <b/>
        <color theme="1"/>
      </font>
      <fill>
        <patternFill>
          <fgColor rgb="FFDCE6F1"/>
          <bgColor rgb="FFDCE6F1"/>
        </patternFill>
      </fill>
      <border>
        <bottom style="thin">
          <color rgb="FF4F81BD"/>
        </bottom>
      </border>
    </dxf>
    <dxf>
      <font>
        <b/>
        <color theme="1"/>
      </font>
      <fill>
        <patternFill patternType="solid">
          <fgColor rgb="FF95B3D7"/>
          <bgColor rgb="FF95B3D7"/>
        </patternFill>
      </fill>
      <border>
        <bottom style="thin">
          <color rgb="FFDCE6F1"/>
        </bottom>
        <horizontal style="thin">
          <color rgb="FFDCE6F1"/>
        </horizontal>
      </border>
    </dxf>
    <dxf>
      <border>
        <bottom style="thin">
          <color rgb="FFB8CCE4"/>
        </bottom>
      </border>
    </dxf>
    <dxf>
      <font>
        <b/>
        <color theme="1"/>
      </font>
      <fill>
        <patternFill>
          <fgColor rgb="FFD9D9D9"/>
          <bgColor rgb="FFD9D9D9"/>
        </patternFill>
      </fill>
    </dxf>
    <dxf>
      <font>
        <b/>
        <color theme="1"/>
      </font>
      <fill>
        <patternFill patternType="solid">
          <fgColor rgb="FF95B3D7"/>
          <bgColor rgb="FF95B3D7"/>
        </patternFill>
      </fill>
    </dxf>
    <dxf>
      <border>
        <left style="thin">
          <color rgb="FF366092"/>
        </left>
        <right style="thin">
          <color rgb="FF366092"/>
        </right>
      </border>
    </dxf>
    <dxf>
      <border>
        <top style="thin">
          <color rgb="FF366092"/>
        </top>
        <bottom style="thin">
          <color rgb="FF366092"/>
        </bottom>
        <horizontal style="thin">
          <color rgb="FF366092"/>
        </horizontal>
      </border>
    </dxf>
    <dxf>
      <font>
        <b/>
        <color theme="1"/>
      </font>
      <border>
        <top style="double">
          <color rgb="FF366092"/>
        </top>
        <bottom style="double">
          <color rgb="FF366092"/>
        </bottom>
      </border>
    </dxf>
    <dxf>
      <font>
        <b/>
        <color theme="0"/>
      </font>
      <fill>
        <patternFill patternType="solid">
          <fgColor rgb="FF5183BF"/>
          <bgColor rgb="FF5183BF"/>
        </patternFill>
      </fill>
      <border>
        <top/>
        <horizontal style="medium">
          <color rgb="FF366092"/>
        </horizontal>
      </border>
    </dxf>
    <dxf>
      <font>
        <b/>
        <i val="0"/>
        <color theme="1"/>
      </font>
      <fill>
        <patternFill patternType="none">
          <bgColor auto="1"/>
        </patternFill>
      </fill>
      <border>
        <horizontal style="thin">
          <color rgb="FFDCE6F1"/>
        </horizontal>
      </border>
    </dxf>
    <dxf>
      <fill>
        <patternFill patternType="solid">
          <fgColor auto="1"/>
          <bgColor rgb="FFDAEEF3"/>
        </patternFill>
      </fill>
      <border>
        <top style="thin">
          <color rgb="FFDAEEF3"/>
        </top>
        <bottom style="thin">
          <color rgb="FFDAEEF3"/>
        </bottom>
      </border>
    </dxf>
    <dxf>
      <fill>
        <patternFill patternType="solid">
          <fgColor auto="1"/>
          <bgColor rgb="FFDAEEF3"/>
        </patternFill>
      </fill>
      <border>
        <top style="thin">
          <color rgb="FFDAEEF3"/>
        </top>
        <bottom style="thin">
          <color rgb="FFDAEEF3"/>
        </bottom>
      </border>
    </dxf>
    <dxf>
      <font>
        <b/>
        <color theme="1"/>
      </font>
      <fill>
        <patternFill>
          <fgColor rgb="FFDAEEF3"/>
          <bgColor rgb="FFDAEEF3"/>
        </patternFill>
      </fill>
      <border>
        <bottom style="thin">
          <color rgb="FF4BACC6"/>
        </bottom>
      </border>
    </dxf>
    <dxf>
      <font>
        <b/>
        <color theme="1"/>
      </font>
      <fill>
        <patternFill patternType="solid">
          <fgColor rgb="FF92CDDC"/>
          <bgColor rgb="FF92CDDC"/>
        </patternFill>
      </fill>
      <border>
        <bottom style="thin">
          <color rgb="FFDAEEF3"/>
        </bottom>
        <horizontal style="thin">
          <color rgb="FFDAEEF3"/>
        </horizontal>
      </border>
    </dxf>
    <dxf>
      <border>
        <bottom style="thin">
          <color rgb="FFB7DEE8"/>
        </bottom>
      </border>
    </dxf>
    <dxf>
      <font>
        <b/>
        <color theme="1"/>
      </font>
      <fill>
        <patternFill>
          <fgColor rgb="FFD9D9D9"/>
          <bgColor rgb="FFD9D9D9"/>
        </patternFill>
      </fill>
      <border diagonalUp="0" diagonalDown="0">
        <left/>
        <right/>
        <top/>
        <bottom/>
        <vertical/>
        <horizontal/>
      </border>
    </dxf>
    <dxf>
      <font>
        <b/>
        <color theme="1"/>
      </font>
      <fill>
        <patternFill patternType="solid">
          <fgColor rgb="FF92CDDC"/>
          <bgColor rgb="FF92CDDC"/>
        </patternFill>
      </fill>
    </dxf>
    <dxf>
      <fill>
        <patternFill patternType="none">
          <fgColor auto="1"/>
          <bgColor auto="1"/>
        </patternFill>
      </fill>
      <border>
        <left style="thin">
          <color rgb="FF31869B"/>
        </left>
        <right style="thin">
          <color rgb="FF31869B"/>
        </right>
      </border>
    </dxf>
    <dxf>
      <border>
        <top style="thin">
          <color rgb="FF31869B"/>
        </top>
        <bottom style="thin">
          <color rgb="FF31869B"/>
        </bottom>
        <horizontal style="thin">
          <color rgb="FF31869B"/>
        </horizontal>
      </border>
    </dxf>
    <dxf>
      <font>
        <b/>
        <color theme="1"/>
      </font>
      <border diagonalUp="0" diagonalDown="0">
        <left/>
        <right/>
        <top style="double">
          <color rgb="FF31869B"/>
        </top>
        <bottom/>
        <vertical/>
        <horizontal/>
      </border>
    </dxf>
    <dxf>
      <font>
        <b/>
        <i val="0"/>
        <color theme="0"/>
      </font>
      <fill>
        <patternFill patternType="solid">
          <fgColor rgb="FF3CA5BE"/>
          <bgColor rgb="FF3CA5BE"/>
        </patternFill>
      </fill>
      <border>
        <top/>
        <horizontal style="medium">
          <color rgb="FF31869B"/>
        </horizontal>
      </border>
    </dxf>
    <dxf>
      <font>
        <b/>
        <i val="0"/>
        <color theme="1"/>
      </font>
      <border>
        <horizontal style="thin">
          <color rgb="FFDAEEF3"/>
        </horizontal>
      </border>
    </dxf>
    <dxf>
      <fill>
        <patternFill patternType="solid">
          <fgColor theme="5" tint="0.79998168889431442"/>
          <bgColor theme="5" tint="0.79998168889431442"/>
        </patternFill>
      </fill>
      <border>
        <top style="thin">
          <color rgb="FFF2DCDB"/>
        </top>
        <bottom style="thin">
          <color rgb="FFF2DCDB"/>
        </bottom>
      </border>
    </dxf>
    <dxf>
      <fill>
        <patternFill patternType="none">
          <fgColor indexed="64"/>
          <bgColor auto="1"/>
        </patternFill>
      </fill>
      <border>
        <top style="thin">
          <color rgb="FFF2DCDB"/>
        </top>
        <bottom style="thin">
          <color rgb="FFF2DCDB"/>
        </bottom>
      </border>
    </dxf>
    <dxf>
      <font>
        <b/>
        <color theme="1"/>
      </font>
      <fill>
        <patternFill>
          <fgColor rgb="FFF2DCDB"/>
          <bgColor rgb="FFF2DCDB"/>
        </patternFill>
      </fill>
      <border>
        <bottom style="thin">
          <color rgb="FFC0504D"/>
        </bottom>
      </border>
    </dxf>
    <dxf>
      <font>
        <b/>
        <color theme="1"/>
      </font>
      <fill>
        <patternFill patternType="solid">
          <fgColor rgb="FFDA9694"/>
          <bgColor rgb="FFDA9694"/>
        </patternFill>
      </fill>
      <border>
        <bottom style="thin">
          <color rgb="FFF2DCDB"/>
        </bottom>
        <horizontal style="thin">
          <color rgb="FFF2DCDB"/>
        </horizontal>
      </border>
    </dxf>
    <dxf>
      <fill>
        <patternFill patternType="none">
          <bgColor auto="1"/>
        </patternFill>
      </fill>
      <border>
        <bottom style="thin">
          <color rgb="FFE6B8B7"/>
        </bottom>
      </border>
    </dxf>
    <dxf>
      <font>
        <b/>
        <color theme="1"/>
      </font>
      <fill>
        <patternFill>
          <bgColor rgb="FFD9D9D9"/>
        </patternFill>
      </fill>
    </dxf>
    <dxf>
      <font>
        <b/>
        <color theme="1"/>
      </font>
      <fill>
        <patternFill patternType="solid">
          <fgColor rgb="FFDA9694"/>
          <bgColor rgb="FFDA9694"/>
        </patternFill>
      </fill>
    </dxf>
    <dxf>
      <fill>
        <patternFill>
          <fgColor rgb="FFD9D9D9"/>
          <bgColor rgb="FFD9D9D9"/>
        </patternFill>
      </fill>
    </dxf>
    <dxf>
      <font>
        <b/>
        <color theme="1"/>
      </font>
      <fill>
        <patternFill>
          <fgColor rgb="FFDA9694"/>
          <bgColor rgb="FFDA9694"/>
        </patternFill>
      </fill>
      <border diagonalUp="0" diagonalDown="0">
        <left/>
        <right/>
        <top/>
        <bottom/>
        <vertical/>
        <horizontal/>
      </border>
    </dxf>
    <dxf>
      <font>
        <b val="0"/>
        <i val="0"/>
      </font>
    </dxf>
    <dxf>
      <border>
        <left style="thin">
          <color rgb="FF963634"/>
        </left>
        <right style="thin">
          <color rgb="FF963634"/>
        </right>
      </border>
    </dxf>
    <dxf>
      <border>
        <top style="thin">
          <color rgb="FF963634"/>
        </top>
        <bottom style="thin">
          <color rgb="FF963634"/>
        </bottom>
        <horizontal style="thin">
          <color rgb="FF963634"/>
        </horizontal>
      </border>
    </dxf>
    <dxf>
      <font>
        <b/>
        <i val="0"/>
        <color theme="1"/>
      </font>
      <border diagonalUp="0" diagonalDown="0">
        <left/>
        <right/>
        <top style="double">
          <color rgb="FF963634"/>
        </top>
        <bottom/>
        <vertical/>
        <horizontal/>
      </border>
    </dxf>
    <dxf>
      <font>
        <b/>
        <color theme="0"/>
      </font>
      <fill>
        <patternFill patternType="solid">
          <fgColor rgb="FFAB3E3B"/>
          <bgColor rgb="FFAB3E3B"/>
        </patternFill>
      </fill>
      <border diagonalUp="0" diagonalDown="0">
        <left/>
        <right/>
        <top/>
        <bottom/>
        <vertical/>
        <horizontal style="medium">
          <color rgb="FF963634"/>
        </horizontal>
      </border>
    </dxf>
    <dxf>
      <font>
        <b/>
        <i val="0"/>
        <color theme="1"/>
      </font>
      <border>
        <horizontal style="thin">
          <color rgb="FFF2DCDB"/>
        </horizontal>
      </border>
    </dxf>
    <dxf>
      <fill>
        <patternFill patternType="solid">
          <fgColor theme="8" tint="0.79998168889431442"/>
          <bgColor theme="8" tint="0.79998168889431442"/>
        </patternFill>
      </fill>
      <border>
        <bottom style="thin">
          <color theme="8" tint="0.39997558519241921"/>
        </bottom>
      </border>
    </dxf>
    <dxf>
      <fill>
        <patternFill patternType="solid">
          <fgColor theme="8" tint="0.79998168889431442"/>
          <bgColor theme="8" tint="0.79998168889431442"/>
        </patternFill>
      </fill>
      <border>
        <bottom style="thin">
          <color theme="8" tint="0.39997558519241921"/>
        </bottom>
      </border>
    </dxf>
    <dxf>
      <font>
        <b/>
        <color theme="1"/>
      </font>
    </dxf>
    <dxf>
      <font>
        <b/>
        <color theme="1"/>
      </font>
      <border>
        <bottom style="thin">
          <color theme="8" tint="0.39997558519241921"/>
        </bottom>
      </border>
    </dxf>
    <dxf>
      <font>
        <b/>
        <color theme="1"/>
      </font>
    </dxf>
    <dxf>
      <font>
        <b/>
        <color theme="1"/>
      </font>
      <border>
        <top style="thin">
          <color theme="8"/>
        </top>
        <bottom style="thin">
          <color theme="8"/>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8" tint="0.79998168889431442"/>
          <bgColor theme="8" tint="0.79998168889431442"/>
        </patternFill>
      </fill>
      <border>
        <top style="thin">
          <color theme="8" tint="0.39997558519241921"/>
        </top>
      </border>
    </dxf>
    <dxf>
      <font>
        <b/>
        <color theme="1"/>
      </font>
      <fill>
        <patternFill patternType="solid">
          <fgColor theme="8" tint="0.79998168889431442"/>
          <bgColor theme="8" tint="0.79998168889431442"/>
        </patternFill>
      </fill>
      <border>
        <bottom style="thin">
          <color theme="8" tint="0.39997558519241921"/>
        </bottom>
      </border>
    </dxf>
    <dxf>
      <font>
        <color theme="0"/>
      </font>
      <fill>
        <patternFill patternType="none">
          <fgColor auto="1"/>
          <bgColor auto="1"/>
        </patternFill>
      </fill>
      <border>
        <top style="thin">
          <color rgb="FFE4DFEC"/>
        </top>
        <bottom style="thin">
          <color rgb="FFE4DFEC"/>
        </bottom>
        <horizontal/>
      </border>
    </dxf>
    <dxf>
      <font>
        <b/>
        <color theme="0"/>
      </font>
      <fill>
        <patternFill patternType="solid">
          <fgColor theme="9" tint="-0.499984740745262"/>
          <bgColor theme="9" tint="-0.499984740745262"/>
        </patternFill>
      </fill>
      <border diagonalUp="0" diagonalDown="0">
        <left/>
        <right/>
        <top style="thin">
          <color rgb="FFE4DFEC"/>
        </top>
        <bottom style="thin">
          <color rgb="FFE4DFEC"/>
        </bottom>
        <vertical/>
        <horizontal/>
      </border>
    </dxf>
    <dxf>
      <font>
        <b/>
        <color theme="1"/>
      </font>
      <fill>
        <patternFill>
          <fgColor rgb="FFE4DFEC"/>
          <bgColor rgb="FFE4DFEC"/>
        </patternFill>
      </fill>
      <border>
        <bottom style="thin">
          <color rgb="FF8064A2"/>
        </bottom>
      </border>
    </dxf>
    <dxf>
      <font>
        <b/>
        <color theme="1"/>
      </font>
      <fill>
        <patternFill patternType="solid">
          <fgColor rgb="FFAAA0C7"/>
          <bgColor rgb="FFAAA0C7"/>
        </patternFill>
      </fill>
      <border diagonalUp="0" diagonalDown="0">
        <left/>
        <right/>
        <top/>
        <bottom style="thin">
          <color rgb="FF8064A2"/>
        </bottom>
        <vertical/>
        <horizontal style="thin">
          <color rgb="FF8064A2"/>
        </horizontal>
      </border>
    </dxf>
    <dxf>
      <fill>
        <patternFill patternType="none">
          <bgColor auto="1"/>
        </patternFill>
      </fill>
      <border>
        <bottom style="thin">
          <color rgb="FFCCC0DA"/>
        </bottom>
      </border>
    </dxf>
    <dxf>
      <font>
        <b/>
        <i val="0"/>
      </font>
      <fill>
        <patternFill>
          <fgColor rgb="FFD9D9D9"/>
          <bgColor rgb="FFD9D9D9"/>
        </patternFill>
      </fill>
    </dxf>
    <dxf>
      <font>
        <b/>
        <color theme="1"/>
      </font>
      <fill>
        <patternFill>
          <fgColor rgb="FFB1A0C7"/>
          <bgColor rgb="FFB1A0C7"/>
        </patternFill>
      </fill>
      <border>
        <bottom style="thin">
          <color theme="9" tint="0.79998168889431442"/>
        </bottom>
      </border>
    </dxf>
    <dxf>
      <font>
        <b val="0"/>
        <i val="0"/>
      </font>
    </dxf>
    <dxf>
      <border>
        <left style="thin">
          <color rgb="FF60497A"/>
        </left>
        <right style="thin">
          <color rgb="FF60497A"/>
        </right>
      </border>
    </dxf>
    <dxf>
      <border>
        <top style="thin">
          <color rgb="FF60497A"/>
        </top>
        <bottom style="thin">
          <color rgb="FF60497A"/>
        </bottom>
        <horizontal style="thin">
          <color rgb="FF60497A"/>
        </horizontal>
      </border>
    </dxf>
    <dxf>
      <font>
        <b/>
        <color theme="0"/>
      </font>
      <border>
        <top style="double">
          <color rgb="FF60497A"/>
        </top>
      </border>
    </dxf>
    <dxf>
      <font>
        <b/>
        <i val="0"/>
        <color theme="0"/>
      </font>
      <fill>
        <patternFill>
          <fgColor rgb="FF60497A"/>
          <bgColor rgb="FF60497A"/>
        </patternFill>
      </fill>
      <border>
        <horizontal style="thin">
          <color rgb="FF60497A"/>
        </horizontal>
      </border>
    </dxf>
    <dxf>
      <font>
        <b val="0"/>
        <i val="0"/>
        <color theme="1"/>
      </font>
      <border>
        <horizontal style="thin">
          <color rgb="FFE4DFEC"/>
        </horizontal>
      </border>
    </dxf>
  </dxfs>
  <tableStyles count="5" defaultTableStyle="TableStyleMedium2" defaultPivotStyle="PivotStyleLight16">
    <tableStyle name="PivotStyleDark7-SETA" table="0" count="13">
      <tableStyleElement type="wholeTable" dxfId="601"/>
      <tableStyleElement type="headerRow" dxfId="600"/>
      <tableStyleElement type="totalRow" dxfId="599"/>
      <tableStyleElement type="firstRowStripe" dxfId="598"/>
      <tableStyleElement type="firstColumnStripe" dxfId="597"/>
      <tableStyleElement type="firstHeaderCell" dxfId="596"/>
      <tableStyleElement type="firstSubtotalRow" dxfId="595"/>
      <tableStyleElement type="secondSubtotalRow" dxfId="594"/>
      <tableStyleElement type="firstColumnSubheading" dxfId="593"/>
      <tableStyleElement type="firstRowSubheading" dxfId="592"/>
      <tableStyleElement type="secondRowSubheading" dxfId="591"/>
      <tableStyleElement type="pageFieldLabels" dxfId="590"/>
      <tableStyleElement type="pageFieldValues" dxfId="589"/>
    </tableStyle>
    <tableStyle name="PivotStyleLight20-Metrics" table="0" count="11">
      <tableStyleElement type="headerRow" dxfId="588"/>
      <tableStyleElement type="totalRow" dxfId="587"/>
      <tableStyleElement type="firstRowStripe" dxfId="586"/>
      <tableStyleElement type="firstColumnStripe" dxfId="585"/>
      <tableStyleElement type="firstSubtotalColumn" dxfId="584"/>
      <tableStyleElement type="firstSubtotalRow" dxfId="583"/>
      <tableStyleElement type="secondSubtotalRow" dxfId="582"/>
      <tableStyleElement type="firstRowSubheading" dxfId="581"/>
      <tableStyleElement type="secondRowSubheading" dxfId="580"/>
      <tableStyleElement type="pageFieldLabels" dxfId="579"/>
      <tableStyleElement type="pageFieldValues" dxfId="578"/>
    </tableStyle>
    <tableStyle name="PivotStyleMedium10-Late2" table="0" count="15">
      <tableStyleElement type="wholeTable" dxfId="577"/>
      <tableStyleElement type="headerRow" dxfId="576"/>
      <tableStyleElement type="totalRow" dxfId="575"/>
      <tableStyleElement type="firstRowStripe" dxfId="574"/>
      <tableStyleElement type="firstColumnStripe" dxfId="573"/>
      <tableStyleElement type="firstHeaderCell" dxfId="572"/>
      <tableStyleElement type="firstSubtotalColumn" dxfId="571"/>
      <tableStyleElement type="secondSubtotalColumn" dxfId="570"/>
      <tableStyleElement type="firstSubtotalRow" dxfId="569"/>
      <tableStyleElement type="secondSubtotalRow" dxfId="568"/>
      <tableStyleElement type="firstColumnSubheading" dxfId="567"/>
      <tableStyleElement type="firstRowSubheading" dxfId="566"/>
      <tableStyleElement type="secondRowSubheading" dxfId="565"/>
      <tableStyleElement type="pageFieldLabels" dxfId="564"/>
      <tableStyleElement type="pageFieldValues" dxfId="563"/>
    </tableStyle>
    <tableStyle name="PivotStyleMedium14-GPOCRvw" table="0" count="12">
      <tableStyleElement type="wholeTable" dxfId="562"/>
      <tableStyleElement type="headerRow" dxfId="561"/>
      <tableStyleElement type="totalRow" dxfId="560"/>
      <tableStyleElement type="firstRowStripe" dxfId="559"/>
      <tableStyleElement type="firstColumnStripe" dxfId="558"/>
      <tableStyleElement type="firstSubtotalRow" dxfId="557"/>
      <tableStyleElement type="secondSubtotalRow" dxfId="556"/>
      <tableStyleElement type="firstColumnSubheading" dxfId="555"/>
      <tableStyleElement type="firstRowSubheading" dxfId="554"/>
      <tableStyleElement type="secondRowSubheading" dxfId="553"/>
      <tableStyleElement type="pageFieldLabels" dxfId="552"/>
      <tableStyleElement type="pageFieldValues" dxfId="551"/>
    </tableStyle>
    <tableStyle name="PivotStyleMedium9-LookAhead" table="0" count="12">
      <tableStyleElement type="wholeTable" dxfId="550"/>
      <tableStyleElement type="headerRow" dxfId="549"/>
      <tableStyleElement type="totalRow" dxfId="548"/>
      <tableStyleElement type="firstRowStripe" dxfId="547"/>
      <tableStyleElement type="firstColumnStripe" dxfId="546"/>
      <tableStyleElement type="firstSubtotalRow" dxfId="545"/>
      <tableStyleElement type="secondSubtotalRow" dxfId="544"/>
      <tableStyleElement type="firstColumnSubheading" dxfId="543"/>
      <tableStyleElement type="firstRowSubheading" dxfId="542"/>
      <tableStyleElement type="secondRowSubheading" dxfId="541"/>
      <tableStyleElement type="pageFieldLabels" dxfId="540"/>
      <tableStyleElement type="pageFieldValues" dxfId="539"/>
    </tableStyle>
  </tableStyles>
  <colors>
    <mruColors>
      <color rgb="FF963634"/>
      <color rgb="FFF2DCDB"/>
      <color rgb="FFC0504D"/>
      <color rgb="FFDA9694"/>
      <color rgb="FFE6B8B7"/>
      <color rgb="FFD9D9D9"/>
      <color rgb="FFAB3E3B"/>
      <color rgb="FF60497A"/>
      <color rgb="FFE4DFEC"/>
      <color rgb="FF8064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pivotCacheDefinition" Target="pivotCache/pivotCacheDefinition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4.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2.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817738</xdr:colOff>
      <xdr:row>0</xdr:row>
      <xdr:rowOff>77611</xdr:rowOff>
    </xdr:from>
    <xdr:to>
      <xdr:col>1</xdr:col>
      <xdr:colOff>820458</xdr:colOff>
      <xdr:row>2</xdr:row>
      <xdr:rowOff>154716</xdr:rowOff>
    </xdr:to>
    <xdr:cxnSp macro="">
      <xdr:nvCxnSpPr>
        <xdr:cNvPr id="11" name="Straight Connector 10">
          <a:extLst>
            <a:ext uri="{FF2B5EF4-FFF2-40B4-BE49-F238E27FC236}">
              <a16:creationId xmlns:a16="http://schemas.microsoft.com/office/drawing/2014/main" id="{00000000-0008-0000-0000-00000B000000}"/>
            </a:ext>
          </a:extLst>
        </xdr:cNvPr>
        <xdr:cNvCxnSpPr/>
      </xdr:nvCxnSpPr>
      <xdr:spPr>
        <a:xfrm>
          <a:off x="1143000" y="77611"/>
          <a:ext cx="1813" cy="648605"/>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152400</xdr:colOff>
          <xdr:row>0</xdr:row>
          <xdr:rowOff>133350</xdr:rowOff>
        </xdr:from>
        <xdr:to>
          <xdr:col>3</xdr:col>
          <xdr:colOff>171450</xdr:colOff>
          <xdr:row>2</xdr:row>
          <xdr:rowOff>19050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GoTo CDRL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352425</xdr:colOff>
          <xdr:row>0</xdr:row>
          <xdr:rowOff>133350</xdr:rowOff>
        </xdr:from>
        <xdr:to>
          <xdr:col>4</xdr:col>
          <xdr:colOff>352425</xdr:colOff>
          <xdr:row>2</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Print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533400</xdr:colOff>
          <xdr:row>0</xdr:row>
          <xdr:rowOff>133350</xdr:rowOff>
        </xdr:from>
        <xdr:to>
          <xdr:col>5</xdr:col>
          <xdr:colOff>457200</xdr:colOff>
          <xdr:row>2</xdr:row>
          <xdr:rowOff>19050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Refresh Data and Rebuild</a:t>
              </a:r>
            </a:p>
          </xdr:txBody>
        </xdr:sp>
        <xdr:clientData fPrintsWithSheet="0"/>
      </xdr:twoCellAnchor>
    </mc:Choice>
    <mc:Fallback/>
  </mc:AlternateContent>
  <xdr:twoCellAnchor>
    <xdr:from>
      <xdr:col>6</xdr:col>
      <xdr:colOff>555625</xdr:colOff>
      <xdr:row>3</xdr:row>
      <xdr:rowOff>25400</xdr:rowOff>
    </xdr:from>
    <xdr:to>
      <xdr:col>6</xdr:col>
      <xdr:colOff>2651125</xdr:colOff>
      <xdr:row>3</xdr:row>
      <xdr:rowOff>228600</xdr:rowOff>
    </xdr:to>
    <xdr:sp macro="" textlink="">
      <xdr:nvSpPr>
        <xdr:cNvPr id="3" name="TextBox 2"/>
        <xdr:cNvSpPr txBox="1"/>
      </xdr:nvSpPr>
      <xdr:spPr>
        <a:xfrm>
          <a:off x="5080000" y="787400"/>
          <a:ext cx="2095500" cy="2032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130629</xdr:colOff>
      <xdr:row>0</xdr:row>
      <xdr:rowOff>170546</xdr:rowOff>
    </xdr:from>
    <xdr:to>
      <xdr:col>1</xdr:col>
      <xdr:colOff>325665</xdr:colOff>
      <xdr:row>0</xdr:row>
      <xdr:rowOff>664029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18838" y="185965"/>
          <a:ext cx="611412" cy="473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400" b="1" i="1">
              <a:solidFill>
                <a:schemeClr val="bg1"/>
              </a:solidFill>
            </a:rPr>
            <a:t>Control</a:t>
          </a:r>
        </a:p>
        <a:p>
          <a:r>
            <a:rPr lang="en-US" sz="1400" b="1" i="1">
              <a:solidFill>
                <a:schemeClr val="bg1"/>
              </a:solidFill>
            </a:rPr>
            <a:t>Panel</a:t>
          </a:r>
        </a:p>
      </xdr:txBody>
    </xdr:sp>
    <xdr:clientData/>
  </xdr:twoCellAnchor>
  <xdr:twoCellAnchor editAs="absolute">
    <xdr:from>
      <xdr:col>1</xdr:col>
      <xdr:colOff>361952</xdr:colOff>
      <xdr:row>0</xdr:row>
      <xdr:rowOff>97066</xdr:rowOff>
    </xdr:from>
    <xdr:to>
      <xdr:col>1</xdr:col>
      <xdr:colOff>363765</xdr:colOff>
      <xdr:row>0</xdr:row>
      <xdr:rowOff>742950</xdr:rowOff>
    </xdr:to>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a:off x="763816" y="97066"/>
          <a:ext cx="4534" cy="645884"/>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65767</xdr:colOff>
      <xdr:row>0</xdr:row>
      <xdr:rowOff>96155</xdr:rowOff>
    </xdr:from>
    <xdr:to>
      <xdr:col>2</xdr:col>
      <xdr:colOff>373290</xdr:colOff>
      <xdr:row>0</xdr:row>
      <xdr:rowOff>249464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38894" y="82550"/>
          <a:ext cx="362856" cy="166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Filters</a:t>
          </a:r>
        </a:p>
      </xdr:txBody>
    </xdr:sp>
    <xdr:clientData/>
  </xdr:twoCellAnchor>
  <mc:AlternateContent xmlns:mc="http://schemas.openxmlformats.org/markup-compatibility/2006">
    <mc:Choice xmlns:a14="http://schemas.microsoft.com/office/drawing/2010/main" Requires="a14">
      <xdr:twoCellAnchor editAs="absolute">
        <xdr:from>
          <xdr:col>2</xdr:col>
          <xdr:colOff>66675</xdr:colOff>
          <xdr:row>0</xdr:row>
          <xdr:rowOff>276225</xdr:rowOff>
        </xdr:from>
        <xdr:to>
          <xdr:col>2</xdr:col>
          <xdr:colOff>533400</xdr:colOff>
          <xdr:row>0</xdr:row>
          <xdr:rowOff>723900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ClrAll</a:t>
              </a:r>
            </a:p>
            <a:p>
              <a:pPr algn="ctr" rtl="0">
                <a:defRPr sz="1000"/>
              </a:pPr>
              <a:r>
                <a:rPr lang="en-US" sz="1100" b="1" i="0" u="none" strike="noStrike" baseline="0">
                  <a:solidFill>
                    <a:srgbClr val="000000"/>
                  </a:solidFill>
                  <a:latin typeface="Calibri"/>
                  <a:cs typeface="Calibri"/>
                </a:rPr>
                <a:t>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95250</xdr:colOff>
          <xdr:row>0</xdr:row>
          <xdr:rowOff>285750</xdr:rowOff>
        </xdr:from>
        <xdr:to>
          <xdr:col>3</xdr:col>
          <xdr:colOff>1257300</xdr:colOff>
          <xdr:row>0</xdr:row>
          <xdr:rowOff>466725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Due Next 30d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104775</xdr:colOff>
          <xdr:row>0</xdr:row>
          <xdr:rowOff>523875</xdr:rowOff>
        </xdr:from>
        <xdr:to>
          <xdr:col>3</xdr:col>
          <xdr:colOff>1257300</xdr:colOff>
          <xdr:row>0</xdr:row>
          <xdr:rowOff>695325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Dlvrd Last 7d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1409700</xdr:colOff>
          <xdr:row>0</xdr:row>
          <xdr:rowOff>285750</xdr:rowOff>
        </xdr:from>
        <xdr:to>
          <xdr:col>3</xdr:col>
          <xdr:colOff>2371725</xdr:colOff>
          <xdr:row>0</xdr:row>
          <xdr:rowOff>723900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In Review by</a:t>
              </a:r>
            </a:p>
            <a:p>
              <a:pPr algn="ctr" rtl="0">
                <a:defRPr sz="1000"/>
              </a:pPr>
              <a:r>
                <a:rPr lang="en-US" sz="1100" b="1" i="0" u="none" strike="noStrike" baseline="0">
                  <a:solidFill>
                    <a:srgbClr val="000000"/>
                  </a:solidFill>
                  <a:latin typeface="Calibri"/>
                  <a:cs typeface="Calibri"/>
                </a:rPr>
                <a:t>Due Date</a:t>
              </a:r>
            </a:p>
          </xdr:txBody>
        </xdr:sp>
        <xdr:clientData fPrintsWithSheet="0"/>
      </xdr:twoCellAnchor>
    </mc:Choice>
    <mc:Fallback/>
  </mc:AlternateContent>
  <xdr:twoCellAnchor editAs="absolute">
    <xdr:from>
      <xdr:col>2</xdr:col>
      <xdr:colOff>369662</xdr:colOff>
      <xdr:row>0</xdr:row>
      <xdr:rowOff>169635</xdr:rowOff>
    </xdr:from>
    <xdr:to>
      <xdr:col>3</xdr:col>
      <xdr:colOff>2285092</xdr:colOff>
      <xdr:row>0</xdr:row>
      <xdr:rowOff>170541</xdr:rowOff>
    </xdr:to>
    <xdr:cxnSp macro="">
      <xdr:nvCxnSpPr>
        <xdr:cNvPr id="9" name="Straight Connector 8">
          <a:extLst>
            <a:ext uri="{FF2B5EF4-FFF2-40B4-BE49-F238E27FC236}">
              <a16:creationId xmlns:a16="http://schemas.microsoft.com/office/drawing/2014/main" id="{00000000-0008-0000-0100-000009000000}"/>
            </a:ext>
          </a:extLst>
        </xdr:cNvPr>
        <xdr:cNvCxnSpPr>
          <a:stCxn id="6" idx="3"/>
        </xdr:cNvCxnSpPr>
      </xdr:nvCxnSpPr>
      <xdr:spPr>
        <a:xfrm>
          <a:off x="1299936" y="165100"/>
          <a:ext cx="2518228" cy="362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170542</xdr:colOff>
      <xdr:row>0</xdr:row>
      <xdr:rowOff>97065</xdr:rowOff>
    </xdr:from>
    <xdr:to>
      <xdr:col>4</xdr:col>
      <xdr:colOff>170542</xdr:colOff>
      <xdr:row>0</xdr:row>
      <xdr:rowOff>742042</xdr:rowOff>
    </xdr:to>
    <xdr:cxnSp macro="">
      <xdr:nvCxnSpPr>
        <xdr:cNvPr id="17" name="Straight Connector 16">
          <a:extLst>
            <a:ext uri="{FF2B5EF4-FFF2-40B4-BE49-F238E27FC236}">
              <a16:creationId xmlns:a16="http://schemas.microsoft.com/office/drawing/2014/main" id="{00000000-0008-0000-0100-000011000000}"/>
            </a:ext>
          </a:extLst>
        </xdr:cNvPr>
        <xdr:cNvCxnSpPr/>
      </xdr:nvCxnSpPr>
      <xdr:spPr>
        <a:xfrm>
          <a:off x="4083050" y="101600"/>
          <a:ext cx="0" cy="645884"/>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4</xdr:col>
          <xdr:colOff>238125</xdr:colOff>
          <xdr:row>0</xdr:row>
          <xdr:rowOff>266700</xdr:rowOff>
        </xdr:from>
        <xdr:to>
          <xdr:col>5</xdr:col>
          <xdr:colOff>95250</xdr:colOff>
          <xdr:row>0</xdr:row>
          <xdr:rowOff>762000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Calibri"/>
                  <a:cs typeface="Calibri"/>
                </a:rPr>
                <a:t>Sort Default</a:t>
              </a:r>
              <a:endParaRPr lang="en-US" sz="1100" b="1" i="0" u="none" strike="noStrike" baseline="0">
                <a:solidFill>
                  <a:srgbClr val="000000"/>
                </a:solidFill>
                <a:latin typeface="Calibri"/>
                <a:cs typeface="Calibri"/>
              </a:endParaRPr>
            </a:p>
            <a:p>
              <a:pPr algn="ctr" rtl="0">
                <a:defRPr sz="1000"/>
              </a:pPr>
              <a:r>
                <a:rPr lang="en-US" sz="800" b="1" i="0" u="none" strike="noStrike" baseline="0">
                  <a:solidFill>
                    <a:srgbClr val="000000"/>
                  </a:solidFill>
                  <a:latin typeface="Calibri"/>
                  <a:cs typeface="Calibri"/>
                </a:rPr>
                <a:t>(KTR, CLIN, ID, Due Date, Applicable to, Submission</a:t>
              </a:r>
            </a:p>
          </xdr:txBody>
        </xdr:sp>
        <xdr:clientData fPrintsWithSheet="0"/>
      </xdr:twoCellAnchor>
    </mc:Choice>
    <mc:Fallback/>
  </mc:AlternateContent>
  <xdr:twoCellAnchor editAs="absolute">
    <xdr:from>
      <xdr:col>5</xdr:col>
      <xdr:colOff>134255</xdr:colOff>
      <xdr:row>0</xdr:row>
      <xdr:rowOff>94345</xdr:rowOff>
    </xdr:from>
    <xdr:to>
      <xdr:col>5</xdr:col>
      <xdr:colOff>134255</xdr:colOff>
      <xdr:row>0</xdr:row>
      <xdr:rowOff>742950</xdr:rowOff>
    </xdr:to>
    <xdr:cxnSp macro="">
      <xdr:nvCxnSpPr>
        <xdr:cNvPr id="19" name="Straight Connector 18">
          <a:extLst>
            <a:ext uri="{FF2B5EF4-FFF2-40B4-BE49-F238E27FC236}">
              <a16:creationId xmlns:a16="http://schemas.microsoft.com/office/drawing/2014/main" id="{00000000-0008-0000-0100-000013000000}"/>
            </a:ext>
          </a:extLst>
        </xdr:cNvPr>
        <xdr:cNvCxnSpPr/>
      </xdr:nvCxnSpPr>
      <xdr:spPr>
        <a:xfrm>
          <a:off x="5689600" y="107950"/>
          <a:ext cx="0" cy="644070"/>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171451</xdr:colOff>
      <xdr:row>0</xdr:row>
      <xdr:rowOff>55334</xdr:rowOff>
    </xdr:from>
    <xdr:to>
      <xdr:col>4</xdr:col>
      <xdr:colOff>610504</xdr:colOff>
      <xdr:row>0</xdr:row>
      <xdr:rowOff>228599</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205515" y="55334"/>
          <a:ext cx="449035" cy="1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Sorting</a:t>
          </a:r>
        </a:p>
      </xdr:txBody>
    </xdr:sp>
    <xdr:clientData/>
  </xdr:twoCellAnchor>
  <xdr:twoCellAnchor editAs="absolute">
    <xdr:from>
      <xdr:col>4</xdr:col>
      <xdr:colOff>610504</xdr:colOff>
      <xdr:row>0</xdr:row>
      <xdr:rowOff>135618</xdr:rowOff>
    </xdr:from>
    <xdr:to>
      <xdr:col>5</xdr:col>
      <xdr:colOff>18142</xdr:colOff>
      <xdr:row>0</xdr:row>
      <xdr:rowOff>136979</xdr:rowOff>
    </xdr:to>
    <xdr:cxnSp macro="">
      <xdr:nvCxnSpPr>
        <xdr:cNvPr id="23" name="Straight Connector 22">
          <a:extLst>
            <a:ext uri="{FF2B5EF4-FFF2-40B4-BE49-F238E27FC236}">
              <a16:creationId xmlns:a16="http://schemas.microsoft.com/office/drawing/2014/main" id="{00000000-0008-0000-0100-000017000000}"/>
            </a:ext>
          </a:extLst>
        </xdr:cNvPr>
        <xdr:cNvCxnSpPr>
          <a:stCxn id="22" idx="3"/>
        </xdr:cNvCxnSpPr>
      </xdr:nvCxnSpPr>
      <xdr:spPr>
        <a:xfrm flipV="1">
          <a:off x="4654550" y="140153"/>
          <a:ext cx="927100" cy="3174"/>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254454</xdr:colOff>
      <xdr:row>0</xdr:row>
      <xdr:rowOff>97067</xdr:rowOff>
    </xdr:from>
    <xdr:to>
      <xdr:col>7</xdr:col>
      <xdr:colOff>254454</xdr:colOff>
      <xdr:row>0</xdr:row>
      <xdr:rowOff>742044</xdr:rowOff>
    </xdr:to>
    <xdr:cxnSp macro="">
      <xdr:nvCxnSpPr>
        <xdr:cNvPr id="27" name="Straight Connector 26">
          <a:extLst>
            <a:ext uri="{FF2B5EF4-FFF2-40B4-BE49-F238E27FC236}">
              <a16:creationId xmlns:a16="http://schemas.microsoft.com/office/drawing/2014/main" id="{00000000-0008-0000-0100-00001B000000}"/>
            </a:ext>
          </a:extLst>
        </xdr:cNvPr>
        <xdr:cNvCxnSpPr/>
      </xdr:nvCxnSpPr>
      <xdr:spPr>
        <a:xfrm>
          <a:off x="8419193" y="97067"/>
          <a:ext cx="0" cy="644977"/>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163737</xdr:colOff>
      <xdr:row>0</xdr:row>
      <xdr:rowOff>55334</xdr:rowOff>
    </xdr:from>
    <xdr:to>
      <xdr:col>5</xdr:col>
      <xdr:colOff>829578</xdr:colOff>
      <xdr:row>0</xdr:row>
      <xdr:rowOff>248554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5809342" y="55334"/>
          <a:ext cx="661307" cy="179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Formatting</a:t>
          </a:r>
        </a:p>
      </xdr:txBody>
    </xdr:sp>
    <xdr:clientData/>
  </xdr:twoCellAnchor>
  <xdr:twoCellAnchor editAs="absolute">
    <xdr:from>
      <xdr:col>5</xdr:col>
      <xdr:colOff>829573</xdr:colOff>
      <xdr:row>0</xdr:row>
      <xdr:rowOff>130878</xdr:rowOff>
    </xdr:from>
    <xdr:to>
      <xdr:col>7</xdr:col>
      <xdr:colOff>45258</xdr:colOff>
      <xdr:row>0</xdr:row>
      <xdr:rowOff>131537</xdr:rowOff>
    </xdr:to>
    <xdr:cxnSp macro="">
      <xdr:nvCxnSpPr>
        <xdr:cNvPr id="29" name="Straight Connector 28">
          <a:extLst>
            <a:ext uri="{FF2B5EF4-FFF2-40B4-BE49-F238E27FC236}">
              <a16:creationId xmlns:a16="http://schemas.microsoft.com/office/drawing/2014/main" id="{00000000-0008-0000-0100-00001D000000}"/>
            </a:ext>
          </a:extLst>
        </xdr:cNvPr>
        <xdr:cNvCxnSpPr>
          <a:stCxn id="28" idx="3"/>
        </xdr:cNvCxnSpPr>
      </xdr:nvCxnSpPr>
      <xdr:spPr>
        <a:xfrm flipV="1">
          <a:off x="6470644" y="130878"/>
          <a:ext cx="1645920" cy="65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5</xdr:col>
          <xdr:colOff>333375</xdr:colOff>
          <xdr:row>0</xdr:row>
          <xdr:rowOff>314325</xdr:rowOff>
        </xdr:from>
        <xdr:to>
          <xdr:col>6</xdr:col>
          <xdr:colOff>333375</xdr:colOff>
          <xdr:row>0</xdr:row>
          <xdr:rowOff>476250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Col Widths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323850</xdr:colOff>
          <xdr:row>0</xdr:row>
          <xdr:rowOff>552450</xdr:rowOff>
        </xdr:from>
        <xdr:to>
          <xdr:col>6</xdr:col>
          <xdr:colOff>333375</xdr:colOff>
          <xdr:row>0</xdr:row>
          <xdr:rowOff>714375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Row 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457200</xdr:colOff>
          <xdr:row>0</xdr:row>
          <xdr:rowOff>304800</xdr:rowOff>
        </xdr:from>
        <xdr:to>
          <xdr:col>7</xdr:col>
          <xdr:colOff>180975</xdr:colOff>
          <xdr:row>0</xdr:row>
          <xdr:rowOff>466725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UnHideCols</a:t>
              </a:r>
            </a:p>
          </xdr:txBody>
        </xdr:sp>
        <xdr:clientData fPrintsWithSheet="0"/>
      </xdr:twoCellAnchor>
    </mc:Choice>
    <mc:Fallback/>
  </mc:AlternateContent>
  <xdr:twoCellAnchor editAs="absolute">
    <xdr:from>
      <xdr:col>7</xdr:col>
      <xdr:colOff>408665</xdr:colOff>
      <xdr:row>0</xdr:row>
      <xdr:rowOff>58056</xdr:rowOff>
    </xdr:from>
    <xdr:to>
      <xdr:col>8</xdr:col>
      <xdr:colOff>163738</xdr:colOff>
      <xdr:row>0</xdr:row>
      <xdr:rowOff>211368</xdr:rowOff>
    </xdr:to>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8573404" y="48986"/>
          <a:ext cx="647702" cy="170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Admin</a:t>
          </a:r>
        </a:p>
      </xdr:txBody>
    </xdr:sp>
    <xdr:clientData/>
  </xdr:twoCellAnchor>
  <xdr:twoCellAnchor editAs="absolute">
    <xdr:from>
      <xdr:col>8</xdr:col>
      <xdr:colOff>58054</xdr:colOff>
      <xdr:row>0</xdr:row>
      <xdr:rowOff>130879</xdr:rowOff>
    </xdr:from>
    <xdr:to>
      <xdr:col>9</xdr:col>
      <xdr:colOff>944234</xdr:colOff>
      <xdr:row>0</xdr:row>
      <xdr:rowOff>130879</xdr:rowOff>
    </xdr:to>
    <xdr:cxnSp macro="">
      <xdr:nvCxnSpPr>
        <xdr:cNvPr id="38" name="Straight Connector 37">
          <a:extLst>
            <a:ext uri="{FF2B5EF4-FFF2-40B4-BE49-F238E27FC236}">
              <a16:creationId xmlns:a16="http://schemas.microsoft.com/office/drawing/2014/main" id="{00000000-0008-0000-0100-000026000000}"/>
            </a:ext>
          </a:extLst>
        </xdr:cNvPr>
        <xdr:cNvCxnSpPr/>
      </xdr:nvCxnSpPr>
      <xdr:spPr>
        <a:xfrm>
          <a:off x="9048750" y="122716"/>
          <a:ext cx="1845481"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7</xdr:col>
          <xdr:colOff>466725</xdr:colOff>
          <xdr:row>0</xdr:row>
          <xdr:rowOff>304800</xdr:rowOff>
        </xdr:from>
        <xdr:to>
          <xdr:col>8</xdr:col>
          <xdr:colOff>781050</xdr:colOff>
          <xdr:row>0</xdr:row>
          <xdr:rowOff>476250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466725</xdr:colOff>
          <xdr:row>0</xdr:row>
          <xdr:rowOff>523875</xdr:rowOff>
        </xdr:from>
        <xdr:to>
          <xdr:col>9</xdr:col>
          <xdr:colOff>85725</xdr:colOff>
          <xdr:row>0</xdr:row>
          <xdr:rowOff>771525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cs typeface="Calibri"/>
                </a:rPr>
                <a:t>Edit CDRL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55331</xdr:rowOff>
    </xdr:from>
    <xdr:to>
      <xdr:col>2</xdr:col>
      <xdr:colOff>1455963</xdr:colOff>
      <xdr:row>0</xdr:row>
      <xdr:rowOff>725714</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3540"/>
          <a:ext cx="5003800" cy="682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t>CDRL Reviewer Assignments for Email Distribution</a:t>
          </a:r>
        </a:p>
        <a:p>
          <a:r>
            <a:rPr lang="en-US" sz="1100"/>
            <a:t>R = Reviewer (TO: line), I = Information Only (CC: line)</a:t>
          </a:r>
        </a:p>
        <a:p>
          <a:r>
            <a:rPr lang="en-US" sz="1100"/>
            <a:t>Assignments below used for default TO: and CC: addresses on CDRL review emails.</a:t>
          </a:r>
        </a:p>
      </xdr:txBody>
    </xdr:sp>
    <xdr:clientData/>
  </xdr:twoCellAnchor>
  <mc:AlternateContent xmlns:mc="http://schemas.openxmlformats.org/markup-compatibility/2006">
    <mc:Choice xmlns:a14="http://schemas.microsoft.com/office/drawing/2010/main" Requires="a14">
      <xdr:twoCellAnchor editAs="absolute">
        <xdr:from>
          <xdr:col>3</xdr:col>
          <xdr:colOff>152400</xdr:colOff>
          <xdr:row>0</xdr:row>
          <xdr:rowOff>200025</xdr:rowOff>
        </xdr:from>
        <xdr:to>
          <xdr:col>9</xdr:col>
          <xdr:colOff>133350</xdr:colOff>
          <xdr:row>0</xdr:row>
          <xdr:rowOff>581025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Insert New Review </a:t>
              </a:r>
            </a:p>
            <a:p>
              <a:pPr algn="ctr" rtl="0">
                <a:defRPr sz="1000"/>
              </a:pPr>
              <a:r>
                <a:rPr lang="en-US" sz="1100" b="1" i="0" u="none" strike="noStrike" baseline="0">
                  <a:solidFill>
                    <a:srgbClr val="000000"/>
                  </a:solidFill>
                  <a:latin typeface="Calibri"/>
                  <a:cs typeface="Calibri"/>
                </a:rPr>
                <a:t>Team Member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142875</xdr:colOff>
          <xdr:row>0</xdr:row>
          <xdr:rowOff>200025</xdr:rowOff>
        </xdr:from>
        <xdr:to>
          <xdr:col>18</xdr:col>
          <xdr:colOff>133350</xdr:colOff>
          <xdr:row>0</xdr:row>
          <xdr:rowOff>581025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Insert New CDRL</a:t>
              </a:r>
            </a:p>
            <a:p>
              <a:pPr algn="ctr" rtl="0">
                <a:defRPr sz="1000"/>
              </a:pPr>
              <a:r>
                <a:rPr lang="en-US" sz="1100" b="1" i="0" u="none" strike="noStrike" baseline="0">
                  <a:solidFill>
                    <a:srgbClr val="000000"/>
                  </a:solidFill>
                  <a:latin typeface="Calibri"/>
                  <a:cs typeface="Calibri"/>
                </a:rPr>
                <a:t>(Column)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19050</xdr:colOff>
          <xdr:row>0</xdr:row>
          <xdr:rowOff>171450</xdr:rowOff>
        </xdr:from>
        <xdr:to>
          <xdr:col>12</xdr:col>
          <xdr:colOff>9525</xdr:colOff>
          <xdr:row>2</xdr:row>
          <xdr:rowOff>142875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Data &amp; Rebuild Table</a:t>
              </a:r>
            </a:p>
          </xdr:txBody>
        </xdr:sp>
        <xdr:clientData fPrintsWithSheet="0"/>
      </xdr:twoCellAnchor>
    </mc:Choice>
    <mc:Fallback/>
  </mc:AlternateContent>
  <xdr:twoCellAnchor>
    <xdr:from>
      <xdr:col>1</xdr:col>
      <xdr:colOff>3175</xdr:colOff>
      <xdr:row>0</xdr:row>
      <xdr:rowOff>292100</xdr:rowOff>
    </xdr:from>
    <xdr:to>
      <xdr:col>4</xdr:col>
      <xdr:colOff>76200</xdr:colOff>
      <xdr:row>1</xdr:row>
      <xdr:rowOff>146050</xdr:rowOff>
    </xdr:to>
    <xdr:sp macro="" textlink="">
      <xdr:nvSpPr>
        <xdr:cNvPr id="4" name="TextBox 3"/>
        <xdr:cNvSpPr txBox="1"/>
      </xdr:nvSpPr>
      <xdr:spPr>
        <a:xfrm>
          <a:off x="317500" y="292100"/>
          <a:ext cx="2540000" cy="1778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twoCellAnchor>
    <xdr:from>
      <xdr:col>3</xdr:col>
      <xdr:colOff>708025</xdr:colOff>
      <xdr:row>16</xdr:row>
      <xdr:rowOff>247650</xdr:rowOff>
    </xdr:from>
    <xdr:to>
      <xdr:col>7</xdr:col>
      <xdr:colOff>288925</xdr:colOff>
      <xdr:row>17</xdr:row>
      <xdr:rowOff>44450</xdr:rowOff>
    </xdr:to>
    <xdr:sp macro="" textlink="">
      <xdr:nvSpPr>
        <xdr:cNvPr id="5" name="TextBox 4"/>
        <xdr:cNvSpPr txBox="1"/>
      </xdr:nvSpPr>
      <xdr:spPr>
        <a:xfrm>
          <a:off x="3175000" y="3619500"/>
          <a:ext cx="2095500" cy="1778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542925</xdr:colOff>
          <xdr:row>1</xdr:row>
          <xdr:rowOff>133350</xdr:rowOff>
        </xdr:from>
        <xdr:to>
          <xdr:col>8</xdr:col>
          <xdr:colOff>419100</xdr:colOff>
          <xdr:row>3</xdr:row>
          <xdr:rowOff>161925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Data &amp; Rebuild Table</a:t>
              </a:r>
            </a:p>
          </xdr:txBody>
        </xdr:sp>
        <xdr:clientData fPrintsWithSheet="0"/>
      </xdr:twoCellAnchor>
    </mc:Choice>
    <mc:Fallback/>
  </mc:AlternateContent>
  <xdr:twoCellAnchor editAs="oneCell">
    <xdr:from>
      <xdr:col>0</xdr:col>
      <xdr:colOff>152400</xdr:colOff>
      <xdr:row>0</xdr:row>
      <xdr:rowOff>127000</xdr:rowOff>
    </xdr:from>
    <xdr:to>
      <xdr:col>1</xdr:col>
      <xdr:colOff>99483</xdr:colOff>
      <xdr:row>8</xdr:row>
      <xdr:rowOff>0</xdr:rowOff>
    </xdr:to>
    <mc:AlternateContent xmlns:mc="http://schemas.openxmlformats.org/markup-compatibility/2006">
      <mc:Choice xmlns:a14="http://schemas.microsoft.com/office/drawing/2010/main" Requires="a14">
        <xdr:graphicFrame macro="">
          <xdr:nvGraphicFramePr>
            <xdr:cNvPr id="2" name="KTR"/>
            <xdr:cNvGraphicFramePr/>
          </xdr:nvGraphicFramePr>
          <xdr:xfrm>
            <a:off x="0" y="0"/>
            <a:ext cx="0" cy="0"/>
          </xdr:xfrm>
          <a:graphic>
            <a:graphicData uri="http://schemas.microsoft.com/office/drawing/2010/slicer">
              <sle:slicer xmlns:sle="http://schemas.microsoft.com/office/drawing/2010/slicer" name="KTR"/>
            </a:graphicData>
          </a:graphic>
        </xdr:graphicFrame>
      </mc:Choice>
      <mc:Fallback>
        <xdr:sp macro="" textlink="">
          <xdr:nvSpPr>
            <xdr:cNvPr id="0" name=""/>
            <xdr:cNvSpPr>
              <a:spLocks noTextEdit="1"/>
            </xdr:cNvSpPr>
          </xdr:nvSpPr>
          <xdr:spPr>
            <a:xfrm>
              <a:off x="152400" y="127000"/>
              <a:ext cx="635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264583</xdr:colOff>
      <xdr:row>0</xdr:row>
      <xdr:rowOff>127000</xdr:rowOff>
    </xdr:from>
    <xdr:to>
      <xdr:col>1</xdr:col>
      <xdr:colOff>1534583</xdr:colOff>
      <xdr:row>8</xdr:row>
      <xdr:rowOff>0</xdr:rowOff>
    </xdr:to>
    <mc:AlternateContent xmlns:mc="http://schemas.openxmlformats.org/markup-compatibility/2006">
      <mc:Choice xmlns:a14="http://schemas.microsoft.com/office/drawing/2010/main" Requires="a14">
        <xdr:graphicFrame macro="">
          <xdr:nvGraphicFramePr>
            <xdr:cNvPr id="3"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952500" y="127000"/>
              <a:ext cx="1270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1598083</xdr:colOff>
      <xdr:row>0</xdr:row>
      <xdr:rowOff>127000</xdr:rowOff>
    </xdr:from>
    <xdr:to>
      <xdr:col>3</xdr:col>
      <xdr:colOff>931333</xdr:colOff>
      <xdr:row>8</xdr:row>
      <xdr:rowOff>0</xdr:rowOff>
    </xdr:to>
    <mc:AlternateContent xmlns:mc="http://schemas.openxmlformats.org/markup-compatibility/2006">
      <mc:Choice xmlns:a14="http://schemas.microsoft.com/office/drawing/2010/main" Requires="a14">
        <xdr:graphicFrame macro="">
          <xdr:nvGraphicFramePr>
            <xdr:cNvPr id="4" name="Applicable To"/>
            <xdr:cNvGraphicFramePr/>
          </xdr:nvGraphicFramePr>
          <xdr:xfrm>
            <a:off x="0" y="0"/>
            <a:ext cx="0" cy="0"/>
          </xdr:xfrm>
          <a:graphic>
            <a:graphicData uri="http://schemas.microsoft.com/office/drawing/2010/slicer">
              <sle:slicer xmlns:sle="http://schemas.microsoft.com/office/drawing/2010/slicer" name="Applicable To"/>
            </a:graphicData>
          </a:graphic>
        </xdr:graphicFrame>
      </mc:Choice>
      <mc:Fallback>
        <xdr:sp macro="" textlink="">
          <xdr:nvSpPr>
            <xdr:cNvPr id="0" name=""/>
            <xdr:cNvSpPr>
              <a:spLocks noTextEdit="1"/>
            </xdr:cNvSpPr>
          </xdr:nvSpPr>
          <xdr:spPr>
            <a:xfrm>
              <a:off x="2286000" y="127000"/>
              <a:ext cx="1905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994833</xdr:colOff>
      <xdr:row>0</xdr:row>
      <xdr:rowOff>127000</xdr:rowOff>
    </xdr:from>
    <xdr:to>
      <xdr:col>5</xdr:col>
      <xdr:colOff>317500</xdr:colOff>
      <xdr:row>8</xdr:row>
      <xdr:rowOff>0</xdr:rowOff>
    </xdr:to>
    <mc:AlternateContent xmlns:mc="http://schemas.openxmlformats.org/markup-compatibility/2006">
      <mc:Choice xmlns:a14="http://schemas.microsoft.com/office/drawing/2010/main" Requires="a14">
        <xdr:graphicFrame macro="">
          <xdr:nvGraphicFramePr>
            <xdr:cNvPr id="5" name="KTR OnTime/Late"/>
            <xdr:cNvGraphicFramePr/>
          </xdr:nvGraphicFramePr>
          <xdr:xfrm>
            <a:off x="0" y="0"/>
            <a:ext cx="0" cy="0"/>
          </xdr:xfrm>
          <a:graphic>
            <a:graphicData uri="http://schemas.microsoft.com/office/drawing/2010/slicer">
              <sle:slicer xmlns:sle="http://schemas.microsoft.com/office/drawing/2010/slicer" name="KTR OnTime/Late"/>
            </a:graphicData>
          </a:graphic>
        </xdr:graphicFrame>
      </mc:Choice>
      <mc:Fallback>
        <xdr:sp macro="" textlink="">
          <xdr:nvSpPr>
            <xdr:cNvPr id="0" name=""/>
            <xdr:cNvSpPr>
              <a:spLocks noTextEdit="1"/>
            </xdr:cNvSpPr>
          </xdr:nvSpPr>
          <xdr:spPr>
            <a:xfrm>
              <a:off x="4254500" y="127000"/>
              <a:ext cx="1524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381000</xdr:colOff>
      <xdr:row>0</xdr:row>
      <xdr:rowOff>127000</xdr:rowOff>
    </xdr:from>
    <xdr:to>
      <xdr:col>6</xdr:col>
      <xdr:colOff>910167</xdr:colOff>
      <xdr:row>8</xdr:row>
      <xdr:rowOff>0</xdr:rowOff>
    </xdr:to>
    <mc:AlternateContent xmlns:mc="http://schemas.openxmlformats.org/markup-compatibility/2006">
      <mc:Choice xmlns:a14="http://schemas.microsoft.com/office/drawing/2010/main" Requires="a14">
        <xdr:graphicFrame macro="">
          <xdr:nvGraphicFramePr>
            <xdr:cNvPr id="6" name="COTR Decision - Outcome"/>
            <xdr:cNvGraphicFramePr/>
          </xdr:nvGraphicFramePr>
          <xdr:xfrm>
            <a:off x="0" y="0"/>
            <a:ext cx="0" cy="0"/>
          </xdr:xfrm>
          <a:graphic>
            <a:graphicData uri="http://schemas.microsoft.com/office/drawing/2010/slicer">
              <sle:slicer xmlns:sle="http://schemas.microsoft.com/office/drawing/2010/slicer" name="COTR Decision - Outcome"/>
            </a:graphicData>
          </a:graphic>
        </xdr:graphicFrame>
      </mc:Choice>
      <mc:Fallback>
        <xdr:sp macro="" textlink="">
          <xdr:nvSpPr>
            <xdr:cNvPr id="0" name=""/>
            <xdr:cNvSpPr>
              <a:spLocks noTextEdit="1"/>
            </xdr:cNvSpPr>
          </xdr:nvSpPr>
          <xdr:spPr>
            <a:xfrm>
              <a:off x="5842000" y="127000"/>
              <a:ext cx="1524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180975</xdr:colOff>
      <xdr:row>8</xdr:row>
      <xdr:rowOff>12700</xdr:rowOff>
    </xdr:from>
    <xdr:to>
      <xdr:col>5</xdr:col>
      <xdr:colOff>76200</xdr:colOff>
      <xdr:row>8</xdr:row>
      <xdr:rowOff>215900</xdr:rowOff>
    </xdr:to>
    <xdr:sp macro="" textlink="">
      <xdr:nvSpPr>
        <xdr:cNvPr id="7" name="TextBox 6"/>
        <xdr:cNvSpPr txBox="1"/>
      </xdr:nvSpPr>
      <xdr:spPr>
        <a:xfrm>
          <a:off x="3429000" y="1536700"/>
          <a:ext cx="2095500" cy="2032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161925</xdr:colOff>
          <xdr:row>1</xdr:row>
          <xdr:rowOff>95250</xdr:rowOff>
        </xdr:from>
        <xdr:to>
          <xdr:col>13</xdr:col>
          <xdr:colOff>200025</xdr:colOff>
          <xdr:row>1</xdr:row>
          <xdr:rowOff>523875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Re-Run Data Validation Checks</a:t>
              </a:r>
            </a:p>
          </xdr:txBody>
        </xdr:sp>
        <xdr:clientData fPrintsWithSheet="0"/>
      </xdr:twoCellAnchor>
    </mc:Choice>
    <mc:Fallback/>
  </mc:AlternateContent>
  <xdr:twoCellAnchor>
    <xdr:from>
      <xdr:col>0</xdr:col>
      <xdr:colOff>5445</xdr:colOff>
      <xdr:row>0</xdr:row>
      <xdr:rowOff>26306</xdr:rowOff>
    </xdr:from>
    <xdr:to>
      <xdr:col>0</xdr:col>
      <xdr:colOff>1563915</xdr:colOff>
      <xdr:row>0</xdr:row>
      <xdr:rowOff>221343</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445" y="26306"/>
          <a:ext cx="1558470" cy="19503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100" b="1">
              <a:solidFill>
                <a:srgbClr val="FF0000"/>
              </a:solidFill>
            </a:rPr>
            <a:t>Table is:</a:t>
          </a:r>
          <a:r>
            <a:rPr lang="en-US" sz="1100" b="1" baseline="0">
              <a:solidFill>
                <a:srgbClr val="FF0000"/>
              </a:solidFill>
            </a:rPr>
            <a:t>  UNCLASSIFIED</a:t>
          </a:r>
          <a:endParaRPr lang="en-US" sz="1100" b="1">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190954</xdr:colOff>
      <xdr:row>5</xdr:row>
      <xdr:rowOff>14967</xdr:rowOff>
    </xdr:from>
    <xdr:to>
      <xdr:col>0</xdr:col>
      <xdr:colOff>458562</xdr:colOff>
      <xdr:row>16</xdr:row>
      <xdr:rowOff>140153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rot="16200000">
          <a:off x="-750660" y="2245631"/>
          <a:ext cx="2150836"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r>
            <a:rPr lang="en-US" sz="1100" baseline="0"/>
            <a:t> - Use COL M</a:t>
          </a:r>
        </a:p>
      </xdr:txBody>
    </xdr:sp>
    <xdr:clientData/>
  </xdr:twoCellAnchor>
  <xdr:twoCellAnchor>
    <xdr:from>
      <xdr:col>0</xdr:col>
      <xdr:colOff>190954</xdr:colOff>
      <xdr:row>5</xdr:row>
      <xdr:rowOff>14967</xdr:rowOff>
    </xdr:from>
    <xdr:to>
      <xdr:col>0</xdr:col>
      <xdr:colOff>458562</xdr:colOff>
      <xdr:row>16</xdr:row>
      <xdr:rowOff>135618</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rot="16200000">
          <a:off x="-748393" y="2243364"/>
          <a:ext cx="2146301"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r>
            <a:rPr lang="en-US" sz="1100" baseline="0"/>
            <a:t> - Use COL M</a:t>
          </a:r>
        </a:p>
      </xdr:txBody>
    </xdr:sp>
    <xdr:clientData/>
  </xdr:twoCellAnchor>
  <xdr:twoCellAnchor>
    <xdr:from>
      <xdr:col>1</xdr:col>
      <xdr:colOff>184151</xdr:colOff>
      <xdr:row>5</xdr:row>
      <xdr:rowOff>88900</xdr:rowOff>
    </xdr:from>
    <xdr:to>
      <xdr:col>1</xdr:col>
      <xdr:colOff>451759</xdr:colOff>
      <xdr:row>17</xdr:row>
      <xdr:rowOff>19959</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rot="16200000">
          <a:off x="-98425" y="2314576"/>
          <a:ext cx="2140859"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r>
            <a:rPr lang="en-US" sz="1100" baseline="0"/>
            <a:t> - Use COL N</a:t>
          </a:r>
        </a:p>
      </xdr:txBody>
    </xdr:sp>
    <xdr:clientData/>
  </xdr:twoCellAnchor>
  <xdr:twoCellAnchor>
    <xdr:from>
      <xdr:col>3</xdr:col>
      <xdr:colOff>285750</xdr:colOff>
      <xdr:row>6</xdr:row>
      <xdr:rowOff>31749</xdr:rowOff>
    </xdr:from>
    <xdr:to>
      <xdr:col>3</xdr:col>
      <xdr:colOff>553358</xdr:colOff>
      <xdr:row>13</xdr:row>
      <xdr:rowOff>32659</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rot="16200000">
          <a:off x="1984374" y="2016125"/>
          <a:ext cx="1289960"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endParaRPr lang="en-US" sz="1100" baseline="0"/>
        </a:p>
        <a:p>
          <a:endParaRPr lang="en-US"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92531</xdr:colOff>
      <xdr:row>14</xdr:row>
      <xdr:rowOff>179061</xdr:rowOff>
    </xdr:from>
    <xdr:to>
      <xdr:col>7</xdr:col>
      <xdr:colOff>146957</xdr:colOff>
      <xdr:row>25</xdr:row>
      <xdr:rowOff>30946</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268188" y="2933147"/>
          <a:ext cx="2666998" cy="188751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DiBruno, Joseph M" refreshedDate="44225.624144212961" createdVersion="3" refreshedVersion="6" minRefreshableVersion="3" recordCount="20">
  <cacheSource type="worksheet">
    <worksheetSource name="Table2"/>
  </cacheSource>
  <cacheFields count="25">
    <cacheField name="KTR" numFmtId="0">
      <sharedItems count="6">
        <s v="A"/>
        <s v="B"/>
        <s v="L"/>
        <s v="TO3"/>
        <s v="TO4"/>
        <s v="TO5"/>
      </sharedItems>
    </cacheField>
    <cacheField name="CLIN" numFmtId="0">
      <sharedItems count="2">
        <s v="CLN-0001"/>
        <s v="CLN-0002"/>
      </sharedItems>
    </cacheField>
    <cacheField name="CDRL ID" numFmtId="0">
      <sharedItems count="8">
        <s v="A-001"/>
        <s v="B-002"/>
        <s v="B-001"/>
        <s v="A-002"/>
        <s v="A-004"/>
        <s v="T-004"/>
        <s v="A-005"/>
        <s v="T-014"/>
      </sharedItems>
    </cacheField>
    <cacheField name="Title" numFmtId="0">
      <sharedItems count="4">
        <s v="ERROR: Title Not Found in LookUps"/>
        <s v="Test and Evaluation Program Plan (TEPP)"/>
        <s v="Integrated Master Schedule (IMS)"/>
        <s v="Test Report"/>
      </sharedItems>
    </cacheField>
    <cacheField name="Applicable To" numFmtId="0">
      <sharedItems count="10">
        <s v="PMR"/>
        <s v="CDR"/>
        <s v="8 Oct 19, Kickoff"/>
        <s v="13 Nov 19, PMR"/>
        <s v="25 Nov 19, Delta Seg Req"/>
        <s v="22 Jan 20,PMR"/>
        <s v="18 Mar 20, PMR w/C2S"/>
        <s v="TEST"/>
        <s v="TEST 2"/>
        <s v="TEST 3"/>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11-29T00:00:00" count="18">
        <d v="2020-11-28T00:00:00"/>
        <d v="2020-06-01T00:00:00"/>
        <d v="2020-05-15T00:00:00"/>
        <d v="2020-05-17T00:00:00"/>
        <d v="2019-10-01T00:00:00"/>
        <d v="2019-10-03T00:00:00"/>
        <d v="2019-10-07T00:00:00"/>
        <d v="2019-10-16T00:00:00"/>
        <d v="2019-11-07T00:00:00"/>
        <d v="2019-11-18T00:00:00"/>
        <d v="2020-01-29T00:00:00"/>
        <d v="2020-03-11T00:00:00"/>
        <d v="2020-05-05T00:00:00"/>
        <m/>
        <d v="2020-06-15T00:00:00"/>
        <d v="2020-11-03T00:00:00"/>
        <d v="2020-11-05T00:00:00"/>
        <d v="2020-11-06T00:00:00"/>
      </sharedItems>
    </cacheField>
    <cacheField name="Actual Delivery Date" numFmtId="169">
      <sharedItems containsNonDate="0" containsDate="1" containsString="0" containsBlank="1" minDate="2019-10-01T00:00:00" maxDate="2020-11-29T00:00:00"/>
    </cacheField>
    <cacheField name="KTR OnTime/Late" numFmtId="0">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349" maxValue="-223"/>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407" maxValue="-212"/>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iBruno, Joseph M" refreshedDate="44225.624145717593" createdVersion="3" refreshedVersion="6" minRefreshableVersion="3" recordCount="20">
  <cacheSource type="worksheet">
    <worksheetSource name="Table2"/>
  </cacheSource>
  <cacheFields count="26">
    <cacheField name="KTR" numFmtId="0">
      <sharedItems count="6">
        <s v="A"/>
        <s v="B"/>
        <s v="L"/>
        <s v="TO3"/>
        <s v="TO4"/>
        <s v="TO5"/>
      </sharedItems>
    </cacheField>
    <cacheField name="CLIN" numFmtId="0">
      <sharedItems count="2">
        <s v="CLN-0001"/>
        <s v="CLN-0002"/>
      </sharedItems>
    </cacheField>
    <cacheField name="CDRL ID" numFmtId="0">
      <sharedItems count="8">
        <s v="A-001"/>
        <s v="B-002"/>
        <s v="B-001"/>
        <s v="A-002"/>
        <s v="A-004"/>
        <s v="T-004"/>
        <s v="A-005"/>
        <s v="T-014"/>
      </sharedItems>
    </cacheField>
    <cacheField name="Title" numFmtId="0">
      <sharedItems count="4">
        <s v="ERROR: Title Not Found in LookUps"/>
        <s v="Test and Evaluation Program Plan (TEPP)"/>
        <s v="Integrated Master Schedule (IMS)"/>
        <s v="Test Report"/>
      </sharedItems>
    </cacheField>
    <cacheField name="Applicable To" numFmtId="0">
      <sharedItems count="10">
        <s v="PMR"/>
        <s v="CDR"/>
        <s v="8 Oct 19, Kickoff"/>
        <s v="13 Nov 19, PMR"/>
        <s v="25 Nov 19, Delta Seg Req"/>
        <s v="22 Jan 20,PMR"/>
        <s v="18 Mar 20, PMR w/C2S"/>
        <s v="TEST"/>
        <s v="TEST 2"/>
        <s v="TEST 3"/>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11-29T00:00:00"/>
    </cacheField>
    <cacheField name="Actual Delivery Date" numFmtId="169">
      <sharedItems containsNonDate="0" containsDate="1" containsString="0" containsBlank="1" minDate="2019-10-01T00:00:00" maxDate="2020-11-29T00:00:00"/>
    </cacheField>
    <cacheField name="KTR OnTime/Late" numFmtId="0">
      <sharedItems/>
    </cacheField>
    <cacheField name="SETA Review Team Due Date" numFmtId="169">
      <sharedItems containsNonDate="0" containsDate="1" containsString="0" containsBlank="1" minDate="2019-10-03T00:00:00" maxDate="2020-06-21T00:00:00" count="12">
        <d v="2020-06-15T00:00:00"/>
        <d v="2020-06-20T00:00:00"/>
        <d v="2020-06-01T00:00:00"/>
        <d v="2019-10-03T00:00:00"/>
        <d v="2019-10-04T00:00:00"/>
        <m/>
        <d v="2019-11-01T00:00:00"/>
        <d v="2019-11-11T00:00:00"/>
        <d v="2019-11-19T00:00:00"/>
        <d v="2020-02-15T00:00:00"/>
        <d v="2020-03-30T00:00:00"/>
        <d v="2020-05-16T00:00:00"/>
      </sharedItems>
    </cacheField>
    <cacheField name="SETA Rvw Days Remaining" numFmtId="0">
      <sharedItems containsMixedTypes="1" containsNumber="1" containsInteger="1" minValue="-349" maxValue="-223"/>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ount="9">
        <m/>
        <d v="2020-06-15T00:00:00"/>
        <d v="2020-07-01T00:00:00"/>
        <d v="2019-10-02T00:00:00"/>
        <d v="2019-11-15T00:00:00"/>
        <d v="2019-12-19T00:00:00"/>
        <d v="2020-03-01T00:00:00"/>
        <d v="2020-04-11T00:00:00"/>
        <d v="2020-05-25T00:00:00"/>
      </sharedItems>
    </cacheField>
    <cacheField name="Response Days Remaining" numFmtId="0">
      <sharedItems containsMixedTypes="1" containsNumber="1" containsInteger="1" minValue="-407" maxValue="-212"/>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 name="Number of Artifacts" numFmtId="0" formula=" 0"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DiBruno, Joseph M" refreshedDate="44225.624146759263" createdVersion="3" refreshedVersion="6" minRefreshableVersion="3" recordCount="20">
  <cacheSource type="worksheet">
    <worksheetSource name="Table2"/>
  </cacheSource>
  <cacheFields count="25">
    <cacheField name="KTR" numFmtId="0">
      <sharedItems count="6">
        <s v="A"/>
        <s v="B"/>
        <s v="L"/>
        <s v="TO3"/>
        <s v="TO4"/>
        <s v="TO5"/>
      </sharedItems>
    </cacheField>
    <cacheField name="CLIN" numFmtId="0">
      <sharedItems count="2">
        <s v="CLN-0001"/>
        <s v="CLN-0002"/>
      </sharedItems>
    </cacheField>
    <cacheField name="CDRL ID" numFmtId="0">
      <sharedItems count="8">
        <s v="A-001"/>
        <s v="B-002"/>
        <s v="B-001"/>
        <s v="A-002"/>
        <s v="A-004"/>
        <s v="T-004"/>
        <s v="A-005"/>
        <s v="T-014"/>
      </sharedItems>
    </cacheField>
    <cacheField name="Title" numFmtId="0">
      <sharedItems count="4">
        <s v="ERROR: Title Not Found in LookUps"/>
        <s v="Test and Evaluation Program Plan (TEPP)"/>
        <s v="Integrated Master Schedule (IMS)"/>
        <s v="Test Report"/>
      </sharedItems>
    </cacheField>
    <cacheField name="Applicable To" numFmtId="0">
      <sharedItems count="10">
        <s v="PMR"/>
        <s v="CDR"/>
        <s v="8 Oct 19, Kickoff"/>
        <s v="13 Nov 19, PMR"/>
        <s v="25 Nov 19, Delta Seg Req"/>
        <s v="22 Jan 20,PMR"/>
        <s v="18 Mar 20, PMR w/C2S"/>
        <s v="TEST"/>
        <s v="TEST 2"/>
        <s v="TEST 3"/>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11-29T00:00:00"/>
    </cacheField>
    <cacheField name="Actual Delivery Date" numFmtId="169">
      <sharedItems containsNonDate="0" containsDate="1" containsString="0" containsBlank="1" minDate="2019-10-01T00:00:00" maxDate="2020-11-29T00:00:00"/>
    </cacheField>
    <cacheField name="KTR OnTime/Late" numFmtId="0">
      <sharedItems/>
    </cacheField>
    <cacheField name="SETA Review Team Due Date" numFmtId="169">
      <sharedItems containsNonDate="0" containsDate="1" containsString="0" containsBlank="1" minDate="2019-10-03T00:00:00" maxDate="2020-06-21T00:00:00" count="12">
        <d v="2020-06-15T00:00:00"/>
        <d v="2020-06-20T00:00:00"/>
        <d v="2020-06-01T00:00:00"/>
        <d v="2019-10-03T00:00:00"/>
        <d v="2019-10-04T00:00:00"/>
        <m/>
        <d v="2019-11-01T00:00:00"/>
        <d v="2019-11-11T00:00:00"/>
        <d v="2019-11-19T00:00:00"/>
        <d v="2020-02-15T00:00:00"/>
        <d v="2020-03-30T00:00:00"/>
        <d v="2020-05-16T00:00:00"/>
      </sharedItems>
    </cacheField>
    <cacheField name="SETA Rvw Days Remaining" numFmtId="0">
      <sharedItems containsMixedTypes="1" containsNumber="1" containsInteger="1" minValue="-349" maxValue="-223"/>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ount="9">
        <m/>
        <d v="2020-06-15T00:00:00"/>
        <d v="2020-07-01T00:00:00"/>
        <d v="2019-10-02T00:00:00"/>
        <d v="2019-11-15T00:00:00"/>
        <d v="2019-12-19T00:00:00"/>
        <d v="2020-03-01T00:00:00"/>
        <d v="2020-04-11T00:00:00"/>
        <d v="2020-05-25T00:00:00"/>
      </sharedItems>
    </cacheField>
    <cacheField name="Response Days Remaining" numFmtId="0">
      <sharedItems containsMixedTypes="1" containsNumber="1" containsInteger="1" minValue="-407" maxValue="-212"/>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DiBruno, Joseph M" refreshedDate="44225.624148263887" createdVersion="3" refreshedVersion="6" minRefreshableVersion="3" recordCount="20">
  <cacheSource type="worksheet">
    <worksheetSource name="Table2"/>
  </cacheSource>
  <cacheFields count="25">
    <cacheField name="KTR" numFmtId="0">
      <sharedItems count="6">
        <s v="A"/>
        <s v="B"/>
        <s v="L"/>
        <s v="TO3"/>
        <s v="TO4"/>
        <s v="TO5"/>
      </sharedItems>
    </cacheField>
    <cacheField name="CLIN" numFmtId="0">
      <sharedItems count="2">
        <s v="CLN-0001"/>
        <s v="CLN-0002"/>
      </sharedItems>
    </cacheField>
    <cacheField name="CDRL ID" numFmtId="0">
      <sharedItems count="8">
        <s v="A-001"/>
        <s v="B-002"/>
        <s v="B-001"/>
        <s v="A-002"/>
        <s v="A-004"/>
        <s v="T-004"/>
        <s v="A-005"/>
        <s v="T-014"/>
      </sharedItems>
    </cacheField>
    <cacheField name="Title" numFmtId="0">
      <sharedItems count="4">
        <s v="ERROR: Title Not Found in LookUps"/>
        <s v="Test and Evaluation Program Plan (TEPP)"/>
        <s v="Integrated Master Schedule (IMS)"/>
        <s v="Test Report"/>
      </sharedItems>
    </cacheField>
    <cacheField name="Applicable To" numFmtId="0">
      <sharedItems count="10">
        <s v="PMR"/>
        <s v="CDR"/>
        <s v="8 Oct 19, Kickoff"/>
        <s v="13 Nov 19, PMR"/>
        <s v="25 Nov 19, Delta Seg Req"/>
        <s v="22 Jan 20,PMR"/>
        <s v="18 Mar 20, PMR w/C2S"/>
        <s v="TEST"/>
        <s v="TEST 2"/>
        <s v="TEST 3"/>
      </sharedItems>
    </cacheField>
    <cacheField name="Submission" numFmtId="0">
      <sharedItems containsBlank="1" count="6">
        <s v="2-Resubmit1"/>
        <s v="1-Initial"/>
        <s v="1-PreEvent"/>
        <s v="3-Resubmit2"/>
        <s v="2-PostEvent"/>
        <m/>
      </sharedItems>
    </cacheField>
    <cacheField name="State" numFmtId="0">
      <sharedItems containsBlank="1"/>
    </cacheField>
    <cacheField name="KTR Date Due" numFmtId="169">
      <sharedItems containsNonDate="0" containsDate="1" containsString="0" containsBlank="1" minDate="2019-10-01T00:00:00" maxDate="2020-11-29T00:00:00" count="18">
        <d v="2020-11-28T00:00:00"/>
        <d v="2020-06-01T00:00:00"/>
        <d v="2020-05-15T00:00:00"/>
        <d v="2020-05-17T00:00:00"/>
        <d v="2019-10-01T00:00:00"/>
        <d v="2019-10-03T00:00:00"/>
        <d v="2019-10-07T00:00:00"/>
        <d v="2019-10-16T00:00:00"/>
        <d v="2019-11-07T00:00:00"/>
        <d v="2019-11-18T00:00:00"/>
        <d v="2020-01-29T00:00:00"/>
        <d v="2020-03-11T00:00:00"/>
        <d v="2020-05-05T00:00:00"/>
        <m/>
        <d v="2020-06-15T00:00:00"/>
        <d v="2020-11-03T00:00:00"/>
        <d v="2020-11-05T00:00:00"/>
        <d v="2020-11-06T00:00:00"/>
      </sharedItems>
    </cacheField>
    <cacheField name="Actual Delivery Date" numFmtId="169">
      <sharedItems containsNonDate="0" containsDate="1" containsString="0" containsBlank="1" minDate="2019-10-01T00:00:00" maxDate="2020-11-29T00:00:00"/>
    </cacheField>
    <cacheField name="KTR OnTime/Late" numFmtId="0">
      <sharedItems count="8">
        <s v="OnTime"/>
        <s v="Early 2cd"/>
        <s v="Late 1cd"/>
        <s v="Early 1cd"/>
        <s v="Early 3cd"/>
        <s v="Early 4cd"/>
        <s v=""/>
        <s v="Late-Pending"/>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349" maxValue="-223"/>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407" maxValue="-212"/>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DiBruno, Joseph M" refreshedDate="44225.624155671299" createdVersion="3" refreshedVersion="6" minRefreshableVersion="3" recordCount="20">
  <cacheSource type="worksheet">
    <worksheetSource name="Table2"/>
  </cacheSource>
  <cacheFields count="25">
    <cacheField name="KTR" numFmtId="0">
      <sharedItems count="6">
        <s v="A"/>
        <s v="B"/>
        <s v="L"/>
        <s v="TO3"/>
        <s v="TO4"/>
        <s v="TO5"/>
      </sharedItems>
    </cacheField>
    <cacheField name="CLIN" numFmtId="0">
      <sharedItems/>
    </cacheField>
    <cacheField name="CDRL ID" numFmtId="0">
      <sharedItems count="8">
        <s v="A-001"/>
        <s v="B-002"/>
        <s v="B-001"/>
        <s v="A-002"/>
        <s v="A-004"/>
        <s v="T-004"/>
        <s v="A-005"/>
        <s v="T-014"/>
      </sharedItems>
    </cacheField>
    <cacheField name="Title" numFmtId="0">
      <sharedItems count="4">
        <s v="ERROR: Title Not Found in LookUps"/>
        <s v="Test and Evaluation Program Plan (TEPP)"/>
        <s v="Integrated Master Schedule (IMS)"/>
        <s v="Test Report"/>
      </sharedItems>
    </cacheField>
    <cacheField name="Applicable To" numFmtId="0">
      <sharedItems count="10">
        <s v="PMR"/>
        <s v="CDR"/>
        <s v="8 Oct 19, Kickoff"/>
        <s v="13 Nov 19, PMR"/>
        <s v="25 Nov 19, Delta Seg Req"/>
        <s v="22 Jan 20,PMR"/>
        <s v="18 Mar 20, PMR w/C2S"/>
        <s v="TEST"/>
        <s v="TEST 2"/>
        <s v="TEST 3"/>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11-29T00:00:00" count="18">
        <d v="2020-11-28T00:00:00"/>
        <d v="2020-06-01T00:00:00"/>
        <d v="2020-05-15T00:00:00"/>
        <d v="2020-05-17T00:00:00"/>
        <d v="2019-10-01T00:00:00"/>
        <d v="2019-10-03T00:00:00"/>
        <d v="2019-10-07T00:00:00"/>
        <d v="2019-10-16T00:00:00"/>
        <d v="2019-11-07T00:00:00"/>
        <d v="2019-11-18T00:00:00"/>
        <d v="2020-01-29T00:00:00"/>
        <d v="2020-03-11T00:00:00"/>
        <d v="2020-05-05T00:00:00"/>
        <m/>
        <d v="2020-06-15T00:00:00"/>
        <d v="2020-11-03T00:00:00"/>
        <d v="2020-11-05T00:00:00"/>
        <d v="2020-11-06T00:00:00"/>
      </sharedItems>
    </cacheField>
    <cacheField name="Actual Delivery Date" numFmtId="169">
      <sharedItems containsNonDate="0" containsDate="1" containsString="0" containsBlank="1" minDate="2019-10-01T00:00:00" maxDate="2020-11-29T00:00:00" count="18">
        <d v="2020-11-28T00:00:00"/>
        <d v="2020-05-30T00:00:00"/>
        <d v="2020-05-16T00:00:00"/>
        <d v="2020-05-17T00:00:00"/>
        <d v="2019-10-01T00:00:00"/>
        <d v="2019-10-04T00:00:00"/>
        <d v="2019-10-07T00:00:00"/>
        <d v="2019-10-15T00:00:00"/>
        <d v="2019-11-07T00:00:00"/>
        <d v="2019-11-15T00:00:00"/>
        <d v="2020-01-28T00:00:00"/>
        <d v="2020-03-10T00:00:00"/>
        <d v="2020-05-03T00:00:00"/>
        <d v="2020-05-28T00:00:00"/>
        <m/>
        <d v="2020-11-03T00:00:00"/>
        <d v="2020-11-04T00:00:00"/>
        <d v="2020-11-02T00:00:00"/>
      </sharedItems>
    </cacheField>
    <cacheField name="KTR OnTime/Late" numFmtId="0">
      <sharedItems count="8">
        <s v="OnTime"/>
        <s v="Early 2cd"/>
        <s v="Late 1cd"/>
        <s v="Early 1cd"/>
        <s v="Early 3cd"/>
        <s v="Early 4cd"/>
        <s v=""/>
        <s v="Late-Pending"/>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349" maxValue="-223"/>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ount="9">
        <m/>
        <d v="2020-06-15T00:00:00"/>
        <d v="2020-07-01T00:00:00"/>
        <d v="2019-10-02T00:00:00"/>
        <d v="2019-11-15T00:00:00"/>
        <d v="2019-12-19T00:00:00"/>
        <d v="2020-03-01T00:00:00"/>
        <d v="2020-04-11T00:00:00"/>
        <d v="2020-05-25T00:00:00"/>
      </sharedItems>
    </cacheField>
    <cacheField name="Response Days Remaining" numFmtId="0">
      <sharedItems containsMixedTypes="1" containsNumber="1" containsInteger="1" minValue="-407" maxValue="-212"/>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ount="4">
        <m/>
        <s v="Rvwd"/>
        <s v="Aprvd"/>
        <s v="Aprvd-UReqd"/>
      </sharedItems>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acheField>
    <cacheField name="EarlyLateOntime" numFmtId="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r:id="rId1" refreshedBy="DiBruno, Joseph M" refreshedDate="44225.624166898146" createdVersion="3" refreshedVersion="6" minRefreshableVersion="3" recordCount="20">
  <cacheSource type="worksheet">
    <worksheetSource name="Table2"/>
  </cacheSource>
  <cacheFields count="25">
    <cacheField name="KTR" numFmtId="0">
      <sharedItems count="6">
        <s v="A"/>
        <s v="B"/>
        <s v="L"/>
        <s v="TO3"/>
        <s v="TO4"/>
        <s v="TO5"/>
      </sharedItems>
    </cacheField>
    <cacheField name="CLIN" numFmtId="0">
      <sharedItems/>
    </cacheField>
    <cacheField name="CDRL ID" numFmtId="0">
      <sharedItems/>
    </cacheField>
    <cacheField name="Title" numFmtId="0">
      <sharedItems/>
    </cacheField>
    <cacheField name="Applicable To" numFmtId="0">
      <sharedItems/>
    </cacheField>
    <cacheField name="Submission" numFmtId="0">
      <sharedItems containsBlank="1"/>
    </cacheField>
    <cacheField name="State" numFmtId="0">
      <sharedItems containsBlank="1"/>
    </cacheField>
    <cacheField name="KTR Date Due" numFmtId="169">
      <sharedItems containsNonDate="0" containsDate="1" containsString="0" containsBlank="1" minDate="2019-10-01T00:00:00" maxDate="2020-11-29T00:00:00"/>
    </cacheField>
    <cacheField name="Actual Delivery Date" numFmtId="169">
      <sharedItems containsNonDate="0" containsDate="1" containsString="0" containsBlank="1" minDate="2019-10-01T00:00:00" maxDate="2020-11-29T00:00:00"/>
    </cacheField>
    <cacheField name="KTR OnTime/Late" numFmtId="0">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349" maxValue="-223"/>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407" maxValue="-212"/>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acheField>
    <cacheField name="EarlyLateOntime" numFmtId="0">
      <sharedItems count="4">
        <s v="OnTime"/>
        <s v="Early"/>
        <s v="Late"/>
        <s v=""/>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DiBruno, Joseph M" refreshedDate="44225.624167361108" createdVersion="3" refreshedVersion="6" minRefreshableVersion="3" recordCount="20">
  <cacheSource type="worksheet">
    <worksheetSource name="Table2"/>
  </cacheSource>
  <cacheFields count="25">
    <cacheField name="KTR" numFmtId="0">
      <sharedItems count="6">
        <s v="A"/>
        <s v="B"/>
        <s v="L"/>
        <s v="TO3"/>
        <s v="TO4"/>
        <s v="TO5"/>
      </sharedItems>
    </cacheField>
    <cacheField name="CLIN" numFmtId="0">
      <sharedItems/>
    </cacheField>
    <cacheField name="CDRL ID" numFmtId="0">
      <sharedItems count="8">
        <s v="A-001"/>
        <s v="B-002"/>
        <s v="B-001"/>
        <s v="A-002"/>
        <s v="A-004"/>
        <s v="T-004"/>
        <s v="A-005"/>
        <s v="T-014"/>
      </sharedItems>
    </cacheField>
    <cacheField name="Title" numFmtId="0">
      <sharedItems/>
    </cacheField>
    <cacheField name="Applicable To" numFmtId="0">
      <sharedItems/>
    </cacheField>
    <cacheField name="Submission" numFmtId="0">
      <sharedItems containsBlank="1"/>
    </cacheField>
    <cacheField name="State" numFmtId="0">
      <sharedItems containsBlank="1"/>
    </cacheField>
    <cacheField name="KTR Date Due" numFmtId="169">
      <sharedItems containsNonDate="0" containsDate="1" containsString="0" containsBlank="1" minDate="2019-10-01T00:00:00" maxDate="2020-11-29T00:00:00"/>
    </cacheField>
    <cacheField name="Actual Delivery Date" numFmtId="169">
      <sharedItems containsNonDate="0" containsDate="1" containsString="0" containsBlank="1" minDate="2019-10-01T00:00:00" maxDate="2020-11-29T00:00:00"/>
    </cacheField>
    <cacheField name="KTR OnTime/Late" numFmtId="0">
      <sharedItems/>
    </cacheField>
    <cacheField name="SETA Review Team Due Date" numFmtId="169">
      <sharedItems containsNonDate="0" containsDate="1" containsString="0" containsBlank="1" minDate="2019-10-03T00:00:00" maxDate="2020-06-21T00:00:00"/>
    </cacheField>
    <cacheField name="SETA Rvw Days Remaining" numFmtId="0">
      <sharedItems containsMixedTypes="1" containsNumber="1" containsInteger="1" minValue="-349" maxValue="-223"/>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407" maxValue="-212"/>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ount="4">
        <m/>
        <s v="Rvwd"/>
        <s v="Aprvd"/>
        <s v="Aprvd-UReqd"/>
      </sharedItems>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PO Notes" numFmtId="0">
      <sharedItems containsBlank="1"/>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
  <r>
    <x v="0"/>
    <x v="0"/>
    <x v="0"/>
    <x v="0"/>
    <x v="0"/>
    <x v="0"/>
    <x v="0"/>
    <x v="0"/>
    <d v="2020-11-28T00:00:00"/>
    <s v="OnTime"/>
    <d v="2020-06-15T00:00:00"/>
    <n v="-228"/>
    <m/>
    <m/>
    <m/>
    <m/>
    <s v="-"/>
    <m/>
    <s v=""/>
    <m/>
    <m/>
    <m/>
    <m/>
    <x v="0"/>
    <s v="OnTime"/>
  </r>
  <r>
    <x v="0"/>
    <x v="1"/>
    <x v="1"/>
    <x v="0"/>
    <x v="1"/>
    <x v="0"/>
    <x v="0"/>
    <x v="1"/>
    <d v="2020-05-30T00:00:00"/>
    <s v="Early 2cd"/>
    <d v="2020-06-20T00:00:00"/>
    <n v="-223"/>
    <m/>
    <m/>
    <m/>
    <m/>
    <s v="-"/>
    <m/>
    <s v=""/>
    <m/>
    <m/>
    <m/>
    <m/>
    <x v="0"/>
    <s v="Early"/>
  </r>
  <r>
    <x v="1"/>
    <x v="0"/>
    <x v="2"/>
    <x v="0"/>
    <x v="1"/>
    <x v="1"/>
    <x v="1"/>
    <x v="2"/>
    <d v="2020-05-16T00:00:00"/>
    <s v="Late 1cd"/>
    <d v="2020-06-01T00:00:00"/>
    <s v="-"/>
    <m/>
    <m/>
    <s v=""/>
    <d v="2020-06-15T00:00:00"/>
    <n v="-228"/>
    <m/>
    <s v="Late-Pending"/>
    <m/>
    <m/>
    <m/>
    <m/>
    <x v="0"/>
    <s v="Late"/>
  </r>
  <r>
    <x v="1"/>
    <x v="1"/>
    <x v="0"/>
    <x v="0"/>
    <x v="0"/>
    <x v="1"/>
    <x v="1"/>
    <x v="3"/>
    <d v="2020-05-17T00:00:00"/>
    <s v="OnTime"/>
    <d v="2020-06-20T00:00:00"/>
    <s v="-"/>
    <m/>
    <m/>
    <s v=""/>
    <d v="2020-07-01T00:00:00"/>
    <n v="-212"/>
    <m/>
    <s v="Late-Pending"/>
    <m/>
    <m/>
    <m/>
    <m/>
    <x v="0"/>
    <s v="OnTime"/>
  </r>
  <r>
    <x v="2"/>
    <x v="1"/>
    <x v="0"/>
    <x v="0"/>
    <x v="2"/>
    <x v="2"/>
    <x v="2"/>
    <x v="4"/>
    <d v="2019-10-01T00:00:00"/>
    <s v="OnTime"/>
    <d v="2019-10-03T00:00:00"/>
    <s v="-"/>
    <s v="Rvwd"/>
    <d v="2019-10-02T00:00:00"/>
    <m/>
    <d v="2019-10-02T00:00:00"/>
    <s v="-"/>
    <d v="2019-10-02T00:00:00"/>
    <s v="OnTime"/>
    <s v="Rvwd"/>
    <s v="Attached are the"/>
    <d v="2019-10-02T00:00:00"/>
    <d v="2019-10-03T00:00:00"/>
    <x v="1"/>
    <s v="OnTime"/>
  </r>
  <r>
    <x v="2"/>
    <x v="1"/>
    <x v="0"/>
    <x v="0"/>
    <x v="2"/>
    <x v="0"/>
    <x v="2"/>
    <x v="5"/>
    <d v="2019-10-04T00:00:00"/>
    <s v="Late 1cd"/>
    <d v="2019-10-04T00:00:00"/>
    <s v="-"/>
    <s v="Rvwd"/>
    <d v="2019-10-04T00:00:00"/>
    <m/>
    <m/>
    <s v="-"/>
    <m/>
    <s v=""/>
    <m/>
    <m/>
    <m/>
    <d v="2019-10-07T00:00:00"/>
    <x v="2"/>
    <s v="Late"/>
  </r>
  <r>
    <x v="2"/>
    <x v="1"/>
    <x v="0"/>
    <x v="0"/>
    <x v="2"/>
    <x v="3"/>
    <x v="2"/>
    <x v="6"/>
    <d v="2019-10-07T00:00:00"/>
    <s v="OnTime"/>
    <m/>
    <s v="-"/>
    <m/>
    <m/>
    <m/>
    <m/>
    <s v="-"/>
    <m/>
    <s v=""/>
    <m/>
    <m/>
    <m/>
    <m/>
    <x v="3"/>
    <s v="OnTime"/>
  </r>
  <r>
    <x v="2"/>
    <x v="1"/>
    <x v="0"/>
    <x v="0"/>
    <x v="2"/>
    <x v="4"/>
    <x v="2"/>
    <x v="7"/>
    <d v="2019-10-15T00:00:00"/>
    <s v="Early 1cd"/>
    <d v="2019-11-01T00:00:00"/>
    <s v="-"/>
    <s v="Aprvd"/>
    <m/>
    <s v=""/>
    <d v="2019-11-15T00:00:00"/>
    <s v="-"/>
    <d v="2019-11-14T00:00:00"/>
    <s v="Early 1cd"/>
    <s v="Aprvd"/>
    <s v="None at this time"/>
    <d v="2019-11-12T00:00:00"/>
    <m/>
    <x v="4"/>
    <s v="Early"/>
  </r>
  <r>
    <x v="2"/>
    <x v="1"/>
    <x v="0"/>
    <x v="0"/>
    <x v="3"/>
    <x v="2"/>
    <x v="2"/>
    <x v="8"/>
    <d v="2019-11-07T00:00:00"/>
    <s v="OnTime"/>
    <d v="2019-11-11T00:00:00"/>
    <s v="-"/>
    <s v="Rvwd"/>
    <d v="2019-11-12T00:00:00"/>
    <s v=""/>
    <m/>
    <s v="-"/>
    <m/>
    <s v=""/>
    <m/>
    <m/>
    <m/>
    <m/>
    <x v="5"/>
    <s v="OnTime"/>
  </r>
  <r>
    <x v="2"/>
    <x v="1"/>
    <x v="0"/>
    <x v="0"/>
    <x v="4"/>
    <x v="2"/>
    <x v="2"/>
    <x v="9"/>
    <d v="2019-11-15T00:00:00"/>
    <s v="Early 3cd"/>
    <d v="2019-11-19T00:00:00"/>
    <s v="-"/>
    <s v="Rvwd"/>
    <d v="2019-11-20T00:00:00"/>
    <s v=""/>
    <d v="2019-12-19T00:00:00"/>
    <n v="-407"/>
    <m/>
    <s v="Late-Pending"/>
    <m/>
    <s v="We have"/>
    <m/>
    <m/>
    <x v="6"/>
    <s v="Early"/>
  </r>
  <r>
    <x v="2"/>
    <x v="1"/>
    <x v="0"/>
    <x v="0"/>
    <x v="5"/>
    <x v="4"/>
    <x v="0"/>
    <x v="10"/>
    <d v="2020-01-28T00:00:00"/>
    <s v="Early 1cd"/>
    <d v="2020-02-15T00:00:00"/>
    <n v="-349"/>
    <m/>
    <d v="2019-12-11T00:00:00"/>
    <m/>
    <m/>
    <s v="-"/>
    <d v="2019-12-16T00:00:00"/>
    <s v=""/>
    <m/>
    <m/>
    <m/>
    <m/>
    <x v="0"/>
    <s v="Early"/>
  </r>
  <r>
    <x v="2"/>
    <x v="1"/>
    <x v="0"/>
    <x v="0"/>
    <x v="5"/>
    <x v="4"/>
    <x v="1"/>
    <x v="10"/>
    <d v="2020-01-28T00:00:00"/>
    <s v="Early 1cd"/>
    <d v="2020-02-15T00:00:00"/>
    <s v="-"/>
    <s v="Rvwd"/>
    <d v="2020-01-21T00:00:00"/>
    <s v=""/>
    <d v="2020-03-01T00:00:00"/>
    <n v="-334"/>
    <m/>
    <s v="Late-Pending"/>
    <s v="Aprvd-UReqd"/>
    <m/>
    <m/>
    <d v="2020-03-15T00:00:00"/>
    <x v="7"/>
    <s v="Early"/>
  </r>
  <r>
    <x v="2"/>
    <x v="1"/>
    <x v="0"/>
    <x v="0"/>
    <x v="6"/>
    <x v="2"/>
    <x v="2"/>
    <x v="11"/>
    <d v="2020-03-10T00:00:00"/>
    <s v="Early 1cd"/>
    <d v="2020-03-30T00:00:00"/>
    <s v="-"/>
    <m/>
    <m/>
    <s v=""/>
    <d v="2020-04-11T00:00:00"/>
    <s v="-"/>
    <d v="2019-11-21T00:00:00"/>
    <s v="Early 142cd"/>
    <s v="Aprvd-UReqd"/>
    <s v="Incoproate"/>
    <m/>
    <d v="2020-04-11T00:00:00"/>
    <x v="8"/>
    <s v="Early"/>
  </r>
  <r>
    <x v="2"/>
    <x v="1"/>
    <x v="3"/>
    <x v="0"/>
    <x v="0"/>
    <x v="1"/>
    <x v="2"/>
    <x v="12"/>
    <d v="2020-05-03T00:00:00"/>
    <s v="Early 2cd"/>
    <d v="2020-05-16T00:00:00"/>
    <s v="-"/>
    <s v="Aprvd-Cmnts"/>
    <d v="2020-05-20T00:00:00"/>
    <s v="None"/>
    <d v="2020-05-25T00:00:00"/>
    <s v="-"/>
    <d v="2020-05-27T00:00:00"/>
    <s v="Late 2cd"/>
    <s v="Rvwd"/>
    <s v="None at this time"/>
    <d v="2020-05-26T00:00:00"/>
    <d v="2020-06-30T00:00:00"/>
    <x v="9"/>
    <s v="Early"/>
  </r>
  <r>
    <x v="2"/>
    <x v="1"/>
    <x v="3"/>
    <x v="0"/>
    <x v="0"/>
    <x v="1"/>
    <x v="2"/>
    <x v="1"/>
    <d v="2020-05-28T00:00:00"/>
    <s v="Early 4cd"/>
    <d v="2020-06-15T00:00:00"/>
    <s v="-"/>
    <m/>
    <m/>
    <s v=""/>
    <d v="2020-07-01T00:00:00"/>
    <n v="-212"/>
    <m/>
    <s v="Late-Pending"/>
    <s v="Aprvd-UReqd"/>
    <s v="Good document but missed some key required data that needs updated"/>
    <m/>
    <d v="2020-07-30T00:00:00"/>
    <x v="9"/>
    <s v="Early"/>
  </r>
  <r>
    <x v="2"/>
    <x v="1"/>
    <x v="3"/>
    <x v="0"/>
    <x v="0"/>
    <x v="5"/>
    <x v="3"/>
    <x v="13"/>
    <m/>
    <s v=""/>
    <m/>
    <s v="-"/>
    <m/>
    <m/>
    <m/>
    <m/>
    <s v="-"/>
    <m/>
    <s v=""/>
    <m/>
    <m/>
    <m/>
    <m/>
    <x v="0"/>
    <s v=""/>
  </r>
  <r>
    <x v="2"/>
    <x v="1"/>
    <x v="4"/>
    <x v="0"/>
    <x v="0"/>
    <x v="1"/>
    <x v="4"/>
    <x v="14"/>
    <m/>
    <s v="Late-Pending"/>
    <m/>
    <s v="-"/>
    <m/>
    <m/>
    <m/>
    <m/>
    <s v="-"/>
    <m/>
    <s v=""/>
    <m/>
    <m/>
    <m/>
    <m/>
    <x v="0"/>
    <s v="Late"/>
  </r>
  <r>
    <x v="3"/>
    <x v="0"/>
    <x v="5"/>
    <x v="1"/>
    <x v="7"/>
    <x v="1"/>
    <x v="4"/>
    <x v="15"/>
    <d v="2020-11-03T00:00:00"/>
    <s v="OnTime"/>
    <m/>
    <s v="-"/>
    <m/>
    <m/>
    <m/>
    <m/>
    <s v="-"/>
    <m/>
    <s v=""/>
    <m/>
    <m/>
    <m/>
    <m/>
    <x v="0"/>
    <s v="OnTime"/>
  </r>
  <r>
    <x v="4"/>
    <x v="0"/>
    <x v="6"/>
    <x v="2"/>
    <x v="8"/>
    <x v="1"/>
    <x v="4"/>
    <x v="16"/>
    <d v="2020-11-04T00:00:00"/>
    <s v="Early 1cd"/>
    <m/>
    <s v="-"/>
    <m/>
    <m/>
    <m/>
    <m/>
    <s v="-"/>
    <m/>
    <s v=""/>
    <m/>
    <m/>
    <m/>
    <m/>
    <x v="0"/>
    <s v="Early"/>
  </r>
  <r>
    <x v="5"/>
    <x v="0"/>
    <x v="7"/>
    <x v="3"/>
    <x v="9"/>
    <x v="1"/>
    <x v="4"/>
    <x v="17"/>
    <d v="2020-11-02T00:00:00"/>
    <s v="Early 4cd"/>
    <m/>
    <s v="-"/>
    <m/>
    <m/>
    <m/>
    <m/>
    <s v="-"/>
    <m/>
    <s v=""/>
    <m/>
    <m/>
    <m/>
    <m/>
    <x v="0"/>
    <s v="Early"/>
  </r>
</pivotCacheRecords>
</file>

<file path=xl/pivotCache/pivotCacheRecords2.xml><?xml version="1.0" encoding="utf-8"?>
<pivotCacheRecords xmlns="http://schemas.openxmlformats.org/spreadsheetml/2006/main" xmlns:r="http://schemas.openxmlformats.org/officeDocument/2006/relationships" count="20">
  <r>
    <x v="0"/>
    <x v="0"/>
    <x v="0"/>
    <x v="0"/>
    <x v="0"/>
    <x v="0"/>
    <x v="0"/>
    <d v="2020-11-28T00:00:00"/>
    <d v="2020-11-28T00:00:00"/>
    <s v="OnTime"/>
    <x v="0"/>
    <n v="-228"/>
    <m/>
    <m/>
    <m/>
    <x v="0"/>
    <s v="-"/>
    <m/>
    <s v=""/>
    <m/>
    <m/>
    <m/>
    <m/>
    <x v="0"/>
    <s v="OnTime"/>
  </r>
  <r>
    <x v="0"/>
    <x v="1"/>
    <x v="1"/>
    <x v="0"/>
    <x v="1"/>
    <x v="0"/>
    <x v="0"/>
    <d v="2020-06-01T00:00:00"/>
    <d v="2020-05-30T00:00:00"/>
    <s v="Early 2cd"/>
    <x v="1"/>
    <n v="-223"/>
    <m/>
    <m/>
    <m/>
    <x v="0"/>
    <s v="-"/>
    <m/>
    <s v=""/>
    <m/>
    <m/>
    <m/>
    <m/>
    <x v="0"/>
    <s v="Early"/>
  </r>
  <r>
    <x v="1"/>
    <x v="0"/>
    <x v="2"/>
    <x v="0"/>
    <x v="1"/>
    <x v="1"/>
    <x v="1"/>
    <d v="2020-05-15T00:00:00"/>
    <d v="2020-05-16T00:00:00"/>
    <s v="Late 1cd"/>
    <x v="2"/>
    <s v="-"/>
    <m/>
    <m/>
    <s v=""/>
    <x v="1"/>
    <n v="-228"/>
    <m/>
    <s v="Late-Pending"/>
    <m/>
    <m/>
    <m/>
    <m/>
    <x v="0"/>
    <s v="Late"/>
  </r>
  <r>
    <x v="1"/>
    <x v="1"/>
    <x v="0"/>
    <x v="0"/>
    <x v="0"/>
    <x v="1"/>
    <x v="1"/>
    <d v="2020-05-17T00:00:00"/>
    <d v="2020-05-17T00:00:00"/>
    <s v="OnTime"/>
    <x v="1"/>
    <s v="-"/>
    <m/>
    <m/>
    <s v=""/>
    <x v="2"/>
    <n v="-212"/>
    <m/>
    <s v="Late-Pending"/>
    <m/>
    <m/>
    <m/>
    <m/>
    <x v="0"/>
    <s v="OnTime"/>
  </r>
  <r>
    <x v="2"/>
    <x v="1"/>
    <x v="0"/>
    <x v="0"/>
    <x v="2"/>
    <x v="2"/>
    <x v="2"/>
    <d v="2019-10-01T00:00:00"/>
    <d v="2019-10-01T00:00:00"/>
    <s v="OnTime"/>
    <x v="3"/>
    <s v="-"/>
    <s v="Rvwd"/>
    <d v="2019-10-02T00:00:00"/>
    <m/>
    <x v="3"/>
    <s v="-"/>
    <d v="2019-10-02T00:00:00"/>
    <s v="OnTime"/>
    <s v="Rvwd"/>
    <s v="Attached are the"/>
    <d v="2019-10-02T00:00:00"/>
    <d v="2019-10-03T00:00:00"/>
    <x v="1"/>
    <s v="OnTime"/>
  </r>
  <r>
    <x v="2"/>
    <x v="1"/>
    <x v="0"/>
    <x v="0"/>
    <x v="2"/>
    <x v="0"/>
    <x v="2"/>
    <d v="2019-10-03T00:00:00"/>
    <d v="2019-10-04T00:00:00"/>
    <s v="Late 1cd"/>
    <x v="4"/>
    <s v="-"/>
    <s v="Rvwd"/>
    <d v="2019-10-04T00:00:00"/>
    <m/>
    <x v="0"/>
    <s v="-"/>
    <m/>
    <s v=""/>
    <m/>
    <m/>
    <m/>
    <d v="2019-10-07T00:00:00"/>
    <x v="2"/>
    <s v="Late"/>
  </r>
  <r>
    <x v="2"/>
    <x v="1"/>
    <x v="0"/>
    <x v="0"/>
    <x v="2"/>
    <x v="3"/>
    <x v="2"/>
    <d v="2019-10-07T00:00:00"/>
    <d v="2019-10-07T00:00:00"/>
    <s v="OnTime"/>
    <x v="5"/>
    <s v="-"/>
    <m/>
    <m/>
    <m/>
    <x v="0"/>
    <s v="-"/>
    <m/>
    <s v=""/>
    <m/>
    <m/>
    <m/>
    <m/>
    <x v="3"/>
    <s v="OnTime"/>
  </r>
  <r>
    <x v="2"/>
    <x v="1"/>
    <x v="0"/>
    <x v="0"/>
    <x v="2"/>
    <x v="4"/>
    <x v="2"/>
    <d v="2019-10-16T00:00:00"/>
    <d v="2019-10-15T00:00:00"/>
    <s v="Early 1cd"/>
    <x v="6"/>
    <s v="-"/>
    <s v="Aprvd"/>
    <m/>
    <s v=""/>
    <x v="4"/>
    <s v="-"/>
    <d v="2019-11-14T00:00:00"/>
    <s v="Early 1cd"/>
    <s v="Aprvd"/>
    <s v="None at this time"/>
    <d v="2019-11-12T00:00:00"/>
    <m/>
    <x v="4"/>
    <s v="Early"/>
  </r>
  <r>
    <x v="2"/>
    <x v="1"/>
    <x v="0"/>
    <x v="0"/>
    <x v="3"/>
    <x v="2"/>
    <x v="2"/>
    <d v="2019-11-07T00:00:00"/>
    <d v="2019-11-07T00:00:00"/>
    <s v="OnTime"/>
    <x v="7"/>
    <s v="-"/>
    <s v="Rvwd"/>
    <d v="2019-11-12T00:00:00"/>
    <s v=""/>
    <x v="0"/>
    <s v="-"/>
    <m/>
    <s v=""/>
    <m/>
    <m/>
    <m/>
    <m/>
    <x v="5"/>
    <s v="OnTime"/>
  </r>
  <r>
    <x v="2"/>
    <x v="1"/>
    <x v="0"/>
    <x v="0"/>
    <x v="4"/>
    <x v="2"/>
    <x v="2"/>
    <d v="2019-11-18T00:00:00"/>
    <d v="2019-11-15T00:00:00"/>
    <s v="Early 3cd"/>
    <x v="8"/>
    <s v="-"/>
    <s v="Rvwd"/>
    <d v="2019-11-20T00:00:00"/>
    <s v=""/>
    <x v="5"/>
    <n v="-407"/>
    <m/>
    <s v="Late-Pending"/>
    <m/>
    <s v="We have"/>
    <m/>
    <m/>
    <x v="6"/>
    <s v="Early"/>
  </r>
  <r>
    <x v="2"/>
    <x v="1"/>
    <x v="0"/>
    <x v="0"/>
    <x v="5"/>
    <x v="4"/>
    <x v="0"/>
    <d v="2020-01-29T00:00:00"/>
    <d v="2020-01-28T00:00:00"/>
    <s v="Early 1cd"/>
    <x v="9"/>
    <n v="-349"/>
    <m/>
    <d v="2019-12-11T00:00:00"/>
    <m/>
    <x v="0"/>
    <s v="-"/>
    <d v="2019-12-16T00:00:00"/>
    <s v=""/>
    <m/>
    <m/>
    <m/>
    <m/>
    <x v="0"/>
    <s v="Early"/>
  </r>
  <r>
    <x v="2"/>
    <x v="1"/>
    <x v="0"/>
    <x v="0"/>
    <x v="5"/>
    <x v="4"/>
    <x v="1"/>
    <d v="2020-01-29T00:00:00"/>
    <d v="2020-01-28T00:00:00"/>
    <s v="Early 1cd"/>
    <x v="9"/>
    <s v="-"/>
    <s v="Rvwd"/>
    <d v="2020-01-21T00:00:00"/>
    <s v=""/>
    <x v="6"/>
    <n v="-334"/>
    <m/>
    <s v="Late-Pending"/>
    <s v="Aprvd-UReqd"/>
    <m/>
    <m/>
    <d v="2020-03-15T00:00:00"/>
    <x v="7"/>
    <s v="Early"/>
  </r>
  <r>
    <x v="2"/>
    <x v="1"/>
    <x v="0"/>
    <x v="0"/>
    <x v="6"/>
    <x v="2"/>
    <x v="2"/>
    <d v="2020-03-11T00:00:00"/>
    <d v="2020-03-10T00:00:00"/>
    <s v="Early 1cd"/>
    <x v="10"/>
    <s v="-"/>
    <m/>
    <m/>
    <s v=""/>
    <x v="7"/>
    <s v="-"/>
    <d v="2019-11-21T00:00:00"/>
    <s v="Early 142cd"/>
    <s v="Aprvd-UReqd"/>
    <s v="Incoproate"/>
    <m/>
    <d v="2020-04-11T00:00:00"/>
    <x v="8"/>
    <s v="Early"/>
  </r>
  <r>
    <x v="2"/>
    <x v="1"/>
    <x v="3"/>
    <x v="0"/>
    <x v="0"/>
    <x v="1"/>
    <x v="2"/>
    <d v="2020-05-05T00:00:00"/>
    <d v="2020-05-03T00:00:00"/>
    <s v="Early 2cd"/>
    <x v="11"/>
    <s v="-"/>
    <s v="Aprvd-Cmnts"/>
    <d v="2020-05-20T00:00:00"/>
    <s v="None"/>
    <x v="8"/>
    <s v="-"/>
    <d v="2020-05-27T00:00:00"/>
    <s v="Late 2cd"/>
    <s v="Rvwd"/>
    <s v="None at this time"/>
    <d v="2020-05-26T00:00:00"/>
    <d v="2020-06-30T00:00:00"/>
    <x v="9"/>
    <s v="Early"/>
  </r>
  <r>
    <x v="2"/>
    <x v="1"/>
    <x v="3"/>
    <x v="0"/>
    <x v="0"/>
    <x v="1"/>
    <x v="2"/>
    <d v="2020-06-01T00:00:00"/>
    <d v="2020-05-28T00:00:00"/>
    <s v="Early 4cd"/>
    <x v="0"/>
    <s v="-"/>
    <m/>
    <m/>
    <s v=""/>
    <x v="2"/>
    <n v="-212"/>
    <m/>
    <s v="Late-Pending"/>
    <s v="Aprvd-UReqd"/>
    <s v="Good document but missed some key required data that needs updated"/>
    <m/>
    <d v="2020-07-30T00:00:00"/>
    <x v="9"/>
    <s v="Early"/>
  </r>
  <r>
    <x v="2"/>
    <x v="1"/>
    <x v="3"/>
    <x v="0"/>
    <x v="0"/>
    <x v="5"/>
    <x v="3"/>
    <m/>
    <m/>
    <s v=""/>
    <x v="5"/>
    <s v="-"/>
    <m/>
    <m/>
    <m/>
    <x v="0"/>
    <s v="-"/>
    <m/>
    <s v=""/>
    <m/>
    <m/>
    <m/>
    <m/>
    <x v="0"/>
    <s v=""/>
  </r>
  <r>
    <x v="2"/>
    <x v="1"/>
    <x v="4"/>
    <x v="0"/>
    <x v="0"/>
    <x v="1"/>
    <x v="4"/>
    <d v="2020-06-15T00:00:00"/>
    <m/>
    <s v="Late-Pending"/>
    <x v="5"/>
    <s v="-"/>
    <m/>
    <m/>
    <m/>
    <x v="0"/>
    <s v="-"/>
    <m/>
    <s v=""/>
    <m/>
    <m/>
    <m/>
    <m/>
    <x v="0"/>
    <s v="Late"/>
  </r>
  <r>
    <x v="3"/>
    <x v="0"/>
    <x v="5"/>
    <x v="1"/>
    <x v="7"/>
    <x v="1"/>
    <x v="4"/>
    <d v="2020-11-03T00:00:00"/>
    <d v="2020-11-03T00:00:00"/>
    <s v="OnTime"/>
    <x v="5"/>
    <s v="-"/>
    <m/>
    <m/>
    <m/>
    <x v="0"/>
    <s v="-"/>
    <m/>
    <s v=""/>
    <m/>
    <m/>
    <m/>
    <m/>
    <x v="0"/>
    <s v="OnTime"/>
  </r>
  <r>
    <x v="4"/>
    <x v="0"/>
    <x v="6"/>
    <x v="2"/>
    <x v="8"/>
    <x v="1"/>
    <x v="4"/>
    <d v="2020-11-05T00:00:00"/>
    <d v="2020-11-04T00:00:00"/>
    <s v="Early 1cd"/>
    <x v="5"/>
    <s v="-"/>
    <m/>
    <m/>
    <m/>
    <x v="0"/>
    <s v="-"/>
    <m/>
    <s v=""/>
    <m/>
    <m/>
    <m/>
    <m/>
    <x v="0"/>
    <s v="Early"/>
  </r>
  <r>
    <x v="5"/>
    <x v="0"/>
    <x v="7"/>
    <x v="3"/>
    <x v="9"/>
    <x v="1"/>
    <x v="4"/>
    <d v="2020-11-06T00:00:00"/>
    <d v="2020-11-02T00:00:00"/>
    <s v="Early 4cd"/>
    <x v="5"/>
    <s v="-"/>
    <m/>
    <m/>
    <m/>
    <x v="0"/>
    <s v="-"/>
    <m/>
    <s v=""/>
    <m/>
    <m/>
    <m/>
    <m/>
    <x v="0"/>
    <s v="Early"/>
  </r>
</pivotCacheRecords>
</file>

<file path=xl/pivotCache/pivotCacheRecords3.xml><?xml version="1.0" encoding="utf-8"?>
<pivotCacheRecords xmlns="http://schemas.openxmlformats.org/spreadsheetml/2006/main" xmlns:r="http://schemas.openxmlformats.org/officeDocument/2006/relationships" count="20">
  <r>
    <x v="0"/>
    <x v="0"/>
    <x v="0"/>
    <x v="0"/>
    <x v="0"/>
    <x v="0"/>
    <x v="0"/>
    <d v="2020-11-28T00:00:00"/>
    <d v="2020-11-28T00:00:00"/>
    <s v="OnTime"/>
    <x v="0"/>
    <n v="-228"/>
    <m/>
    <m/>
    <m/>
    <x v="0"/>
    <s v="-"/>
    <m/>
    <s v=""/>
    <m/>
    <m/>
    <m/>
    <m/>
    <x v="0"/>
    <s v="OnTime"/>
  </r>
  <r>
    <x v="0"/>
    <x v="1"/>
    <x v="1"/>
    <x v="0"/>
    <x v="1"/>
    <x v="0"/>
    <x v="0"/>
    <d v="2020-06-01T00:00:00"/>
    <d v="2020-05-30T00:00:00"/>
    <s v="Early 2cd"/>
    <x v="1"/>
    <n v="-223"/>
    <m/>
    <m/>
    <m/>
    <x v="0"/>
    <s v="-"/>
    <m/>
    <s v=""/>
    <m/>
    <m/>
    <m/>
    <m/>
    <x v="0"/>
    <s v="Early"/>
  </r>
  <r>
    <x v="1"/>
    <x v="0"/>
    <x v="2"/>
    <x v="0"/>
    <x v="1"/>
    <x v="1"/>
    <x v="1"/>
    <d v="2020-05-15T00:00:00"/>
    <d v="2020-05-16T00:00:00"/>
    <s v="Late 1cd"/>
    <x v="2"/>
    <s v="-"/>
    <m/>
    <m/>
    <s v=""/>
    <x v="1"/>
    <n v="-228"/>
    <m/>
    <s v="Late-Pending"/>
    <m/>
    <m/>
    <m/>
    <m/>
    <x v="0"/>
    <s v="Late"/>
  </r>
  <r>
    <x v="1"/>
    <x v="1"/>
    <x v="0"/>
    <x v="0"/>
    <x v="0"/>
    <x v="1"/>
    <x v="1"/>
    <d v="2020-05-17T00:00:00"/>
    <d v="2020-05-17T00:00:00"/>
    <s v="OnTime"/>
    <x v="1"/>
    <s v="-"/>
    <m/>
    <m/>
    <s v=""/>
    <x v="2"/>
    <n v="-212"/>
    <m/>
    <s v="Late-Pending"/>
    <m/>
    <m/>
    <m/>
    <m/>
    <x v="0"/>
    <s v="OnTime"/>
  </r>
  <r>
    <x v="2"/>
    <x v="1"/>
    <x v="0"/>
    <x v="0"/>
    <x v="2"/>
    <x v="2"/>
    <x v="2"/>
    <d v="2019-10-01T00:00:00"/>
    <d v="2019-10-01T00:00:00"/>
    <s v="OnTime"/>
    <x v="3"/>
    <s v="-"/>
    <s v="Rvwd"/>
    <d v="2019-10-02T00:00:00"/>
    <m/>
    <x v="3"/>
    <s v="-"/>
    <d v="2019-10-02T00:00:00"/>
    <s v="OnTime"/>
    <s v="Rvwd"/>
    <s v="Attached are the"/>
    <d v="2019-10-02T00:00:00"/>
    <d v="2019-10-03T00:00:00"/>
    <x v="1"/>
    <s v="OnTime"/>
  </r>
  <r>
    <x v="2"/>
    <x v="1"/>
    <x v="0"/>
    <x v="0"/>
    <x v="2"/>
    <x v="0"/>
    <x v="2"/>
    <d v="2019-10-03T00:00:00"/>
    <d v="2019-10-04T00:00:00"/>
    <s v="Late 1cd"/>
    <x v="4"/>
    <s v="-"/>
    <s v="Rvwd"/>
    <d v="2019-10-04T00:00:00"/>
    <m/>
    <x v="0"/>
    <s v="-"/>
    <m/>
    <s v=""/>
    <m/>
    <m/>
    <m/>
    <d v="2019-10-07T00:00:00"/>
    <x v="2"/>
    <s v="Late"/>
  </r>
  <r>
    <x v="2"/>
    <x v="1"/>
    <x v="0"/>
    <x v="0"/>
    <x v="2"/>
    <x v="3"/>
    <x v="2"/>
    <d v="2019-10-07T00:00:00"/>
    <d v="2019-10-07T00:00:00"/>
    <s v="OnTime"/>
    <x v="5"/>
    <s v="-"/>
    <m/>
    <m/>
    <m/>
    <x v="0"/>
    <s v="-"/>
    <m/>
    <s v=""/>
    <m/>
    <m/>
    <m/>
    <m/>
    <x v="3"/>
    <s v="OnTime"/>
  </r>
  <r>
    <x v="2"/>
    <x v="1"/>
    <x v="0"/>
    <x v="0"/>
    <x v="2"/>
    <x v="4"/>
    <x v="2"/>
    <d v="2019-10-16T00:00:00"/>
    <d v="2019-10-15T00:00:00"/>
    <s v="Early 1cd"/>
    <x v="6"/>
    <s v="-"/>
    <s v="Aprvd"/>
    <m/>
    <s v=""/>
    <x v="4"/>
    <s v="-"/>
    <d v="2019-11-14T00:00:00"/>
    <s v="Early 1cd"/>
    <s v="Aprvd"/>
    <s v="None at this time"/>
    <d v="2019-11-12T00:00:00"/>
    <m/>
    <x v="4"/>
    <s v="Early"/>
  </r>
  <r>
    <x v="2"/>
    <x v="1"/>
    <x v="0"/>
    <x v="0"/>
    <x v="3"/>
    <x v="2"/>
    <x v="2"/>
    <d v="2019-11-07T00:00:00"/>
    <d v="2019-11-07T00:00:00"/>
    <s v="OnTime"/>
    <x v="7"/>
    <s v="-"/>
    <s v="Rvwd"/>
    <d v="2019-11-12T00:00:00"/>
    <s v=""/>
    <x v="0"/>
    <s v="-"/>
    <m/>
    <s v=""/>
    <m/>
    <m/>
    <m/>
    <m/>
    <x v="5"/>
    <s v="OnTime"/>
  </r>
  <r>
    <x v="2"/>
    <x v="1"/>
    <x v="0"/>
    <x v="0"/>
    <x v="4"/>
    <x v="2"/>
    <x v="2"/>
    <d v="2019-11-18T00:00:00"/>
    <d v="2019-11-15T00:00:00"/>
    <s v="Early 3cd"/>
    <x v="8"/>
    <s v="-"/>
    <s v="Rvwd"/>
    <d v="2019-11-20T00:00:00"/>
    <s v=""/>
    <x v="5"/>
    <n v="-407"/>
    <m/>
    <s v="Late-Pending"/>
    <m/>
    <s v="We have"/>
    <m/>
    <m/>
    <x v="6"/>
    <s v="Early"/>
  </r>
  <r>
    <x v="2"/>
    <x v="1"/>
    <x v="0"/>
    <x v="0"/>
    <x v="5"/>
    <x v="4"/>
    <x v="0"/>
    <d v="2020-01-29T00:00:00"/>
    <d v="2020-01-28T00:00:00"/>
    <s v="Early 1cd"/>
    <x v="9"/>
    <n v="-349"/>
    <m/>
    <d v="2019-12-11T00:00:00"/>
    <m/>
    <x v="0"/>
    <s v="-"/>
    <d v="2019-12-16T00:00:00"/>
    <s v=""/>
    <m/>
    <m/>
    <m/>
    <m/>
    <x v="0"/>
    <s v="Early"/>
  </r>
  <r>
    <x v="2"/>
    <x v="1"/>
    <x v="0"/>
    <x v="0"/>
    <x v="5"/>
    <x v="4"/>
    <x v="1"/>
    <d v="2020-01-29T00:00:00"/>
    <d v="2020-01-28T00:00:00"/>
    <s v="Early 1cd"/>
    <x v="9"/>
    <s v="-"/>
    <s v="Rvwd"/>
    <d v="2020-01-21T00:00:00"/>
    <s v=""/>
    <x v="6"/>
    <n v="-334"/>
    <m/>
    <s v="Late-Pending"/>
    <s v="Aprvd-UReqd"/>
    <m/>
    <m/>
    <d v="2020-03-15T00:00:00"/>
    <x v="7"/>
    <s v="Early"/>
  </r>
  <r>
    <x v="2"/>
    <x v="1"/>
    <x v="0"/>
    <x v="0"/>
    <x v="6"/>
    <x v="2"/>
    <x v="2"/>
    <d v="2020-03-11T00:00:00"/>
    <d v="2020-03-10T00:00:00"/>
    <s v="Early 1cd"/>
    <x v="10"/>
    <s v="-"/>
    <m/>
    <m/>
    <s v=""/>
    <x v="7"/>
    <s v="-"/>
    <d v="2019-11-21T00:00:00"/>
    <s v="Early 142cd"/>
    <s v="Aprvd-UReqd"/>
    <s v="Incoproate"/>
    <m/>
    <d v="2020-04-11T00:00:00"/>
    <x v="8"/>
    <s v="Early"/>
  </r>
  <r>
    <x v="2"/>
    <x v="1"/>
    <x v="3"/>
    <x v="0"/>
    <x v="0"/>
    <x v="1"/>
    <x v="2"/>
    <d v="2020-05-05T00:00:00"/>
    <d v="2020-05-03T00:00:00"/>
    <s v="Early 2cd"/>
    <x v="11"/>
    <s v="-"/>
    <s v="Aprvd-Cmnts"/>
    <d v="2020-05-20T00:00:00"/>
    <s v="None"/>
    <x v="8"/>
    <s v="-"/>
    <d v="2020-05-27T00:00:00"/>
    <s v="Late 2cd"/>
    <s v="Rvwd"/>
    <s v="None at this time"/>
    <d v="2020-05-26T00:00:00"/>
    <d v="2020-06-30T00:00:00"/>
    <x v="9"/>
    <s v="Early"/>
  </r>
  <r>
    <x v="2"/>
    <x v="1"/>
    <x v="3"/>
    <x v="0"/>
    <x v="0"/>
    <x v="1"/>
    <x v="2"/>
    <d v="2020-06-01T00:00:00"/>
    <d v="2020-05-28T00:00:00"/>
    <s v="Early 4cd"/>
    <x v="0"/>
    <s v="-"/>
    <m/>
    <m/>
    <s v=""/>
    <x v="2"/>
    <n v="-212"/>
    <m/>
    <s v="Late-Pending"/>
    <s v="Aprvd-UReqd"/>
    <s v="Good document but missed some key required data that needs updated"/>
    <m/>
    <d v="2020-07-30T00:00:00"/>
    <x v="9"/>
    <s v="Early"/>
  </r>
  <r>
    <x v="2"/>
    <x v="1"/>
    <x v="3"/>
    <x v="0"/>
    <x v="0"/>
    <x v="5"/>
    <x v="3"/>
    <m/>
    <m/>
    <s v=""/>
    <x v="5"/>
    <s v="-"/>
    <m/>
    <m/>
    <m/>
    <x v="0"/>
    <s v="-"/>
    <m/>
    <s v=""/>
    <m/>
    <m/>
    <m/>
    <m/>
    <x v="0"/>
    <s v=""/>
  </r>
  <r>
    <x v="2"/>
    <x v="1"/>
    <x v="4"/>
    <x v="0"/>
    <x v="0"/>
    <x v="1"/>
    <x v="4"/>
    <d v="2020-06-15T00:00:00"/>
    <m/>
    <s v="Late-Pending"/>
    <x v="5"/>
    <s v="-"/>
    <m/>
    <m/>
    <m/>
    <x v="0"/>
    <s v="-"/>
    <m/>
    <s v=""/>
    <m/>
    <m/>
    <m/>
    <m/>
    <x v="0"/>
    <s v="Late"/>
  </r>
  <r>
    <x v="3"/>
    <x v="0"/>
    <x v="5"/>
    <x v="1"/>
    <x v="7"/>
    <x v="1"/>
    <x v="4"/>
    <d v="2020-11-03T00:00:00"/>
    <d v="2020-11-03T00:00:00"/>
    <s v="OnTime"/>
    <x v="5"/>
    <s v="-"/>
    <m/>
    <m/>
    <m/>
    <x v="0"/>
    <s v="-"/>
    <m/>
    <s v=""/>
    <m/>
    <m/>
    <m/>
    <m/>
    <x v="0"/>
    <s v="OnTime"/>
  </r>
  <r>
    <x v="4"/>
    <x v="0"/>
    <x v="6"/>
    <x v="2"/>
    <x v="8"/>
    <x v="1"/>
    <x v="4"/>
    <d v="2020-11-05T00:00:00"/>
    <d v="2020-11-04T00:00:00"/>
    <s v="Early 1cd"/>
    <x v="5"/>
    <s v="-"/>
    <m/>
    <m/>
    <m/>
    <x v="0"/>
    <s v="-"/>
    <m/>
    <s v=""/>
    <m/>
    <m/>
    <m/>
    <m/>
    <x v="0"/>
    <s v="Early"/>
  </r>
  <r>
    <x v="5"/>
    <x v="0"/>
    <x v="7"/>
    <x v="3"/>
    <x v="9"/>
    <x v="1"/>
    <x v="4"/>
    <d v="2020-11-06T00:00:00"/>
    <d v="2020-11-02T00:00:00"/>
    <s v="Early 4cd"/>
    <x v="5"/>
    <s v="-"/>
    <m/>
    <m/>
    <m/>
    <x v="0"/>
    <s v="-"/>
    <m/>
    <s v=""/>
    <m/>
    <m/>
    <m/>
    <m/>
    <x v="0"/>
    <s v="Early"/>
  </r>
</pivotCacheRecords>
</file>

<file path=xl/pivotCache/pivotCacheRecords4.xml><?xml version="1.0" encoding="utf-8"?>
<pivotCacheRecords xmlns="http://schemas.openxmlformats.org/spreadsheetml/2006/main" xmlns:r="http://schemas.openxmlformats.org/officeDocument/2006/relationships" count="20">
  <r>
    <x v="0"/>
    <x v="0"/>
    <x v="0"/>
    <x v="0"/>
    <x v="0"/>
    <x v="0"/>
    <s v="SETA Rvw"/>
    <x v="0"/>
    <d v="2020-11-28T00:00:00"/>
    <x v="0"/>
    <d v="2020-06-15T00:00:00"/>
    <n v="-228"/>
    <m/>
    <m/>
    <m/>
    <m/>
    <s v="-"/>
    <m/>
    <s v=""/>
    <m/>
    <m/>
    <m/>
    <m/>
    <x v="0"/>
    <s v="OnTime"/>
  </r>
  <r>
    <x v="0"/>
    <x v="1"/>
    <x v="1"/>
    <x v="0"/>
    <x v="1"/>
    <x v="0"/>
    <s v="SETA Rvw"/>
    <x v="1"/>
    <d v="2020-05-30T00:00:00"/>
    <x v="1"/>
    <d v="2020-06-20T00:00:00"/>
    <n v="-223"/>
    <m/>
    <m/>
    <m/>
    <m/>
    <s v="-"/>
    <m/>
    <s v=""/>
    <m/>
    <m/>
    <m/>
    <m/>
    <x v="0"/>
    <s v="Early"/>
  </r>
  <r>
    <x v="1"/>
    <x v="0"/>
    <x v="2"/>
    <x v="0"/>
    <x v="1"/>
    <x v="1"/>
    <s v="GPOC Rvw"/>
    <x v="2"/>
    <d v="2020-05-16T00:00:00"/>
    <x v="2"/>
    <d v="2020-06-01T00:00:00"/>
    <s v="-"/>
    <m/>
    <m/>
    <s v=""/>
    <d v="2020-06-15T00:00:00"/>
    <n v="-228"/>
    <m/>
    <s v="Late-Pending"/>
    <m/>
    <m/>
    <m/>
    <m/>
    <x v="0"/>
    <s v="Late"/>
  </r>
  <r>
    <x v="1"/>
    <x v="1"/>
    <x v="0"/>
    <x v="0"/>
    <x v="0"/>
    <x v="1"/>
    <s v="GPOC Rvw"/>
    <x v="3"/>
    <d v="2020-05-17T00:00:00"/>
    <x v="0"/>
    <d v="2020-06-20T00:00:00"/>
    <s v="-"/>
    <m/>
    <m/>
    <s v=""/>
    <d v="2020-07-01T00:00:00"/>
    <n v="-212"/>
    <m/>
    <s v="Late-Pending"/>
    <m/>
    <m/>
    <m/>
    <m/>
    <x v="0"/>
    <s v="OnTime"/>
  </r>
  <r>
    <x v="2"/>
    <x v="1"/>
    <x v="0"/>
    <x v="0"/>
    <x v="2"/>
    <x v="2"/>
    <s v="Complete"/>
    <x v="4"/>
    <d v="2019-10-01T00:00:00"/>
    <x v="0"/>
    <d v="2019-10-03T00:00:00"/>
    <s v="-"/>
    <s v="Rvwd"/>
    <d v="2019-10-02T00:00:00"/>
    <m/>
    <d v="2019-10-02T00:00:00"/>
    <s v="-"/>
    <d v="2019-10-02T00:00:00"/>
    <s v="OnTime"/>
    <s v="Rvwd"/>
    <s v="Attached are the"/>
    <d v="2019-10-02T00:00:00"/>
    <d v="2019-10-03T00:00:00"/>
    <x v="1"/>
    <s v="OnTime"/>
  </r>
  <r>
    <x v="2"/>
    <x v="1"/>
    <x v="0"/>
    <x v="0"/>
    <x v="2"/>
    <x v="0"/>
    <s v="Complete"/>
    <x v="5"/>
    <d v="2019-10-04T00:00:00"/>
    <x v="2"/>
    <d v="2019-10-04T00:00:00"/>
    <s v="-"/>
    <s v="Rvwd"/>
    <d v="2019-10-04T00:00:00"/>
    <m/>
    <m/>
    <s v="-"/>
    <m/>
    <s v=""/>
    <m/>
    <m/>
    <m/>
    <d v="2019-10-07T00:00:00"/>
    <x v="2"/>
    <s v="Late"/>
  </r>
  <r>
    <x v="2"/>
    <x v="1"/>
    <x v="0"/>
    <x v="0"/>
    <x v="2"/>
    <x v="3"/>
    <s v="Complete"/>
    <x v="6"/>
    <d v="2019-10-07T00:00:00"/>
    <x v="0"/>
    <m/>
    <s v="-"/>
    <m/>
    <m/>
    <m/>
    <m/>
    <s v="-"/>
    <m/>
    <s v=""/>
    <m/>
    <m/>
    <m/>
    <m/>
    <x v="3"/>
    <s v="OnTime"/>
  </r>
  <r>
    <x v="2"/>
    <x v="1"/>
    <x v="0"/>
    <x v="0"/>
    <x v="2"/>
    <x v="4"/>
    <s v="Complete"/>
    <x v="7"/>
    <d v="2019-10-15T00:00:00"/>
    <x v="3"/>
    <d v="2019-11-01T00:00:00"/>
    <s v="-"/>
    <s v="Aprvd"/>
    <m/>
    <s v=""/>
    <d v="2019-11-15T00:00:00"/>
    <s v="-"/>
    <d v="2019-11-14T00:00:00"/>
    <s v="Early 1cd"/>
    <s v="Aprvd"/>
    <s v="None at this time"/>
    <d v="2019-11-12T00:00:00"/>
    <m/>
    <x v="4"/>
    <s v="Early"/>
  </r>
  <r>
    <x v="2"/>
    <x v="1"/>
    <x v="0"/>
    <x v="0"/>
    <x v="3"/>
    <x v="2"/>
    <s v="Complete"/>
    <x v="8"/>
    <d v="2019-11-07T00:00:00"/>
    <x v="0"/>
    <d v="2019-11-11T00:00:00"/>
    <s v="-"/>
    <s v="Rvwd"/>
    <d v="2019-11-12T00:00:00"/>
    <s v=""/>
    <m/>
    <s v="-"/>
    <m/>
    <s v=""/>
    <m/>
    <m/>
    <m/>
    <m/>
    <x v="5"/>
    <s v="OnTime"/>
  </r>
  <r>
    <x v="2"/>
    <x v="1"/>
    <x v="0"/>
    <x v="0"/>
    <x v="4"/>
    <x v="2"/>
    <s v="Complete"/>
    <x v="9"/>
    <d v="2019-11-15T00:00:00"/>
    <x v="4"/>
    <d v="2019-11-19T00:00:00"/>
    <s v="-"/>
    <s v="Rvwd"/>
    <d v="2019-11-20T00:00:00"/>
    <s v=""/>
    <d v="2019-12-19T00:00:00"/>
    <n v="-407"/>
    <m/>
    <s v="Late-Pending"/>
    <m/>
    <s v="We have"/>
    <m/>
    <m/>
    <x v="6"/>
    <s v="Early"/>
  </r>
  <r>
    <x v="2"/>
    <x v="1"/>
    <x v="0"/>
    <x v="0"/>
    <x v="5"/>
    <x v="4"/>
    <s v="SETA Rvw"/>
    <x v="10"/>
    <d v="2020-01-28T00:00:00"/>
    <x v="3"/>
    <d v="2020-02-15T00:00:00"/>
    <n v="-349"/>
    <m/>
    <d v="2019-12-11T00:00:00"/>
    <m/>
    <m/>
    <s v="-"/>
    <d v="2019-12-16T00:00:00"/>
    <s v=""/>
    <m/>
    <m/>
    <m/>
    <m/>
    <x v="0"/>
    <s v="Early"/>
  </r>
  <r>
    <x v="2"/>
    <x v="1"/>
    <x v="0"/>
    <x v="0"/>
    <x v="5"/>
    <x v="4"/>
    <s v="GPOC Rvw"/>
    <x v="10"/>
    <d v="2020-01-28T00:00:00"/>
    <x v="3"/>
    <d v="2020-02-15T00:00:00"/>
    <s v="-"/>
    <s v="Rvwd"/>
    <d v="2020-01-21T00:00:00"/>
    <s v=""/>
    <d v="2020-03-01T00:00:00"/>
    <n v="-334"/>
    <m/>
    <s v="Late-Pending"/>
    <s v="Aprvd-UReqd"/>
    <m/>
    <m/>
    <d v="2020-03-15T00:00:00"/>
    <x v="7"/>
    <s v="Early"/>
  </r>
  <r>
    <x v="2"/>
    <x v="1"/>
    <x v="0"/>
    <x v="0"/>
    <x v="6"/>
    <x v="2"/>
    <s v="Complete"/>
    <x v="11"/>
    <d v="2020-03-10T00:00:00"/>
    <x v="3"/>
    <d v="2020-03-30T00:00:00"/>
    <s v="-"/>
    <m/>
    <m/>
    <s v=""/>
    <d v="2020-04-11T00:00:00"/>
    <s v="-"/>
    <d v="2019-11-21T00:00:00"/>
    <s v="Early 142cd"/>
    <s v="Aprvd-UReqd"/>
    <s v="Incoproate"/>
    <m/>
    <d v="2020-04-11T00:00:00"/>
    <x v="8"/>
    <s v="Early"/>
  </r>
  <r>
    <x v="2"/>
    <x v="1"/>
    <x v="3"/>
    <x v="0"/>
    <x v="0"/>
    <x v="1"/>
    <s v="Complete"/>
    <x v="12"/>
    <d v="2020-05-03T00:00:00"/>
    <x v="1"/>
    <d v="2020-05-16T00:00:00"/>
    <s v="-"/>
    <s v="Aprvd-Cmnts"/>
    <d v="2020-05-20T00:00:00"/>
    <s v="None"/>
    <d v="2020-05-25T00:00:00"/>
    <s v="-"/>
    <d v="2020-05-27T00:00:00"/>
    <s v="Late 2cd"/>
    <s v="Rvwd"/>
    <s v="None at this time"/>
    <d v="2020-05-26T00:00:00"/>
    <d v="2020-06-30T00:00:00"/>
    <x v="9"/>
    <s v="Early"/>
  </r>
  <r>
    <x v="2"/>
    <x v="1"/>
    <x v="3"/>
    <x v="0"/>
    <x v="0"/>
    <x v="1"/>
    <s v="Complete"/>
    <x v="1"/>
    <d v="2020-05-28T00:00:00"/>
    <x v="5"/>
    <d v="2020-06-15T00:00:00"/>
    <s v="-"/>
    <m/>
    <m/>
    <s v=""/>
    <d v="2020-07-01T00:00:00"/>
    <n v="-212"/>
    <m/>
    <s v="Late-Pending"/>
    <s v="Aprvd-UReqd"/>
    <s v="Good document but missed some key required data that needs updated"/>
    <m/>
    <d v="2020-07-30T00:00:00"/>
    <x v="9"/>
    <s v="Early"/>
  </r>
  <r>
    <x v="2"/>
    <x v="1"/>
    <x v="3"/>
    <x v="0"/>
    <x v="0"/>
    <x v="5"/>
    <m/>
    <x v="13"/>
    <m/>
    <x v="6"/>
    <m/>
    <s v="-"/>
    <m/>
    <m/>
    <m/>
    <m/>
    <s v="-"/>
    <m/>
    <s v=""/>
    <m/>
    <m/>
    <m/>
    <m/>
    <x v="0"/>
    <s v=""/>
  </r>
  <r>
    <x v="2"/>
    <x v="1"/>
    <x v="4"/>
    <x v="0"/>
    <x v="0"/>
    <x v="1"/>
    <s v="Waiting Dlvry"/>
    <x v="14"/>
    <m/>
    <x v="7"/>
    <m/>
    <s v="-"/>
    <m/>
    <m/>
    <m/>
    <m/>
    <s v="-"/>
    <m/>
    <s v=""/>
    <m/>
    <m/>
    <m/>
    <m/>
    <x v="0"/>
    <s v="Late"/>
  </r>
  <r>
    <x v="3"/>
    <x v="0"/>
    <x v="5"/>
    <x v="1"/>
    <x v="7"/>
    <x v="1"/>
    <s v="Waiting Dlvry"/>
    <x v="15"/>
    <d v="2020-11-03T00:00:00"/>
    <x v="0"/>
    <m/>
    <s v="-"/>
    <m/>
    <m/>
    <m/>
    <m/>
    <s v="-"/>
    <m/>
    <s v=""/>
    <m/>
    <m/>
    <m/>
    <m/>
    <x v="0"/>
    <s v="OnTime"/>
  </r>
  <r>
    <x v="4"/>
    <x v="0"/>
    <x v="6"/>
    <x v="2"/>
    <x v="8"/>
    <x v="1"/>
    <s v="Waiting Dlvry"/>
    <x v="16"/>
    <d v="2020-11-04T00:00:00"/>
    <x v="3"/>
    <m/>
    <s v="-"/>
    <m/>
    <m/>
    <m/>
    <m/>
    <s v="-"/>
    <m/>
    <s v=""/>
    <m/>
    <m/>
    <m/>
    <m/>
    <x v="0"/>
    <s v="Early"/>
  </r>
  <r>
    <x v="5"/>
    <x v="0"/>
    <x v="7"/>
    <x v="3"/>
    <x v="9"/>
    <x v="1"/>
    <s v="Waiting Dlvry"/>
    <x v="17"/>
    <d v="2020-11-02T00:00:00"/>
    <x v="5"/>
    <m/>
    <s v="-"/>
    <m/>
    <m/>
    <m/>
    <m/>
    <s v="-"/>
    <m/>
    <s v=""/>
    <m/>
    <m/>
    <m/>
    <m/>
    <x v="0"/>
    <s v="Early"/>
  </r>
</pivotCacheRecords>
</file>

<file path=xl/pivotCache/pivotCacheRecords5.xml><?xml version="1.0" encoding="utf-8"?>
<pivotCacheRecords xmlns="http://schemas.openxmlformats.org/spreadsheetml/2006/main" xmlns:r="http://schemas.openxmlformats.org/officeDocument/2006/relationships" count="20">
  <r>
    <x v="0"/>
    <s v="CLN-0001"/>
    <x v="0"/>
    <x v="0"/>
    <x v="0"/>
    <x v="0"/>
    <x v="0"/>
    <x v="0"/>
    <x v="0"/>
    <x v="0"/>
    <d v="2020-06-15T00:00:00"/>
    <n v="-228"/>
    <m/>
    <m/>
    <m/>
    <x v="0"/>
    <s v="-"/>
    <m/>
    <s v=""/>
    <x v="0"/>
    <m/>
    <m/>
    <m/>
    <m/>
    <s v="OnTime"/>
  </r>
  <r>
    <x v="0"/>
    <s v="CLN-0002"/>
    <x v="1"/>
    <x v="0"/>
    <x v="1"/>
    <x v="0"/>
    <x v="0"/>
    <x v="1"/>
    <x v="1"/>
    <x v="1"/>
    <d v="2020-06-20T00:00:00"/>
    <n v="-223"/>
    <m/>
    <m/>
    <m/>
    <x v="0"/>
    <s v="-"/>
    <m/>
    <s v=""/>
    <x v="0"/>
    <m/>
    <m/>
    <m/>
    <m/>
    <s v="Early"/>
  </r>
  <r>
    <x v="1"/>
    <s v="CLN-0001"/>
    <x v="2"/>
    <x v="0"/>
    <x v="1"/>
    <x v="1"/>
    <x v="1"/>
    <x v="2"/>
    <x v="2"/>
    <x v="2"/>
    <d v="2020-06-01T00:00:00"/>
    <s v="-"/>
    <m/>
    <m/>
    <s v=""/>
    <x v="1"/>
    <n v="-228"/>
    <m/>
    <s v="Late-Pending"/>
    <x v="0"/>
    <m/>
    <m/>
    <m/>
    <m/>
    <s v="Late"/>
  </r>
  <r>
    <x v="1"/>
    <s v="CLN-0002"/>
    <x v="0"/>
    <x v="0"/>
    <x v="0"/>
    <x v="1"/>
    <x v="1"/>
    <x v="3"/>
    <x v="3"/>
    <x v="0"/>
    <d v="2020-06-20T00:00:00"/>
    <s v="-"/>
    <m/>
    <m/>
    <s v=""/>
    <x v="2"/>
    <n v="-212"/>
    <m/>
    <s v="Late-Pending"/>
    <x v="0"/>
    <m/>
    <m/>
    <m/>
    <m/>
    <s v="OnTime"/>
  </r>
  <r>
    <x v="2"/>
    <s v="CLN-0002"/>
    <x v="0"/>
    <x v="0"/>
    <x v="2"/>
    <x v="2"/>
    <x v="2"/>
    <x v="4"/>
    <x v="4"/>
    <x v="0"/>
    <d v="2019-10-03T00:00:00"/>
    <s v="-"/>
    <s v="Rvwd"/>
    <d v="2019-10-02T00:00:00"/>
    <m/>
    <x v="3"/>
    <s v="-"/>
    <d v="2019-10-02T00:00:00"/>
    <s v="OnTime"/>
    <x v="1"/>
    <s v="Attached are the"/>
    <d v="2019-10-02T00:00:00"/>
    <d v="2019-10-03T00:00:00"/>
    <s v="Comment sheet sent"/>
    <s v="OnTime"/>
  </r>
  <r>
    <x v="2"/>
    <s v="CLN-0002"/>
    <x v="0"/>
    <x v="0"/>
    <x v="2"/>
    <x v="0"/>
    <x v="2"/>
    <x v="5"/>
    <x v="5"/>
    <x v="2"/>
    <d v="2019-10-04T00:00:00"/>
    <s v="-"/>
    <s v="Rvwd"/>
    <d v="2019-10-04T00:00:00"/>
    <m/>
    <x v="0"/>
    <s v="-"/>
    <m/>
    <s v=""/>
    <x v="0"/>
    <m/>
    <m/>
    <d v="2019-10-07T00:00:00"/>
    <s v="Gov't and Cont worked"/>
    <s v="Late"/>
  </r>
  <r>
    <x v="2"/>
    <s v="CLN-0002"/>
    <x v="0"/>
    <x v="0"/>
    <x v="2"/>
    <x v="3"/>
    <x v="2"/>
    <x v="6"/>
    <x v="6"/>
    <x v="0"/>
    <m/>
    <s v="-"/>
    <m/>
    <m/>
    <m/>
    <x v="0"/>
    <s v="-"/>
    <m/>
    <s v=""/>
    <x v="0"/>
    <m/>
    <m/>
    <m/>
    <s v="Final Pre-Event Submit"/>
    <s v="OnTime"/>
  </r>
  <r>
    <x v="2"/>
    <s v="CLN-0002"/>
    <x v="0"/>
    <x v="0"/>
    <x v="2"/>
    <x v="4"/>
    <x v="2"/>
    <x v="7"/>
    <x v="7"/>
    <x v="3"/>
    <d v="2019-11-01T00:00:00"/>
    <s v="-"/>
    <s v="Aprvd"/>
    <m/>
    <s v=""/>
    <x v="4"/>
    <s v="-"/>
    <d v="2019-11-14T00:00:00"/>
    <s v="Early 1cd"/>
    <x v="2"/>
    <s v="None at this time"/>
    <d v="2019-11-12T00:00:00"/>
    <m/>
    <s v="None"/>
    <s v="Early"/>
  </r>
  <r>
    <x v="2"/>
    <s v="CLN-0002"/>
    <x v="0"/>
    <x v="0"/>
    <x v="3"/>
    <x v="2"/>
    <x v="2"/>
    <x v="8"/>
    <x v="8"/>
    <x v="0"/>
    <d v="2019-11-11T00:00:00"/>
    <s v="-"/>
    <s v="Rvwd"/>
    <d v="2019-11-12T00:00:00"/>
    <s v=""/>
    <x v="0"/>
    <s v="-"/>
    <m/>
    <s v=""/>
    <x v="0"/>
    <m/>
    <m/>
    <m/>
    <s v="COTR approved (via email)"/>
    <s v="OnTime"/>
  </r>
  <r>
    <x v="2"/>
    <s v="CLN-0002"/>
    <x v="0"/>
    <x v="0"/>
    <x v="4"/>
    <x v="2"/>
    <x v="2"/>
    <x v="9"/>
    <x v="9"/>
    <x v="4"/>
    <d v="2019-11-19T00:00:00"/>
    <s v="-"/>
    <s v="Rvwd"/>
    <d v="2019-11-20T00:00:00"/>
    <s v=""/>
    <x v="5"/>
    <n v="-407"/>
    <m/>
    <s v="Late-Pending"/>
    <x v="0"/>
    <s v="We have"/>
    <m/>
    <m/>
    <s v="Also reference B-011"/>
    <s v="Early"/>
  </r>
  <r>
    <x v="2"/>
    <s v="CLN-0002"/>
    <x v="0"/>
    <x v="0"/>
    <x v="5"/>
    <x v="4"/>
    <x v="0"/>
    <x v="10"/>
    <x v="10"/>
    <x v="3"/>
    <d v="2020-02-15T00:00:00"/>
    <n v="-349"/>
    <m/>
    <d v="2019-12-11T00:00:00"/>
    <m/>
    <x v="0"/>
    <s v="-"/>
    <d v="2019-12-16T00:00:00"/>
    <s v=""/>
    <x v="0"/>
    <m/>
    <m/>
    <m/>
    <m/>
    <s v="Early"/>
  </r>
  <r>
    <x v="2"/>
    <s v="CLN-0002"/>
    <x v="0"/>
    <x v="0"/>
    <x v="5"/>
    <x v="4"/>
    <x v="1"/>
    <x v="10"/>
    <x v="10"/>
    <x v="3"/>
    <d v="2020-02-15T00:00:00"/>
    <s v="-"/>
    <s v="Rvwd"/>
    <d v="2020-01-21T00:00:00"/>
    <s v=""/>
    <x v="6"/>
    <n v="-334"/>
    <m/>
    <s v="Late-Pending"/>
    <x v="3"/>
    <m/>
    <m/>
    <d v="2020-03-15T00:00:00"/>
    <s v="J. Reed agreed (email)"/>
    <s v="Early"/>
  </r>
  <r>
    <x v="2"/>
    <s v="CLN-0002"/>
    <x v="0"/>
    <x v="0"/>
    <x v="6"/>
    <x v="2"/>
    <x v="2"/>
    <x v="11"/>
    <x v="11"/>
    <x v="3"/>
    <d v="2020-03-30T00:00:00"/>
    <s v="-"/>
    <m/>
    <m/>
    <s v=""/>
    <x v="7"/>
    <s v="-"/>
    <d v="2019-11-21T00:00:00"/>
    <s v="Early 142cd"/>
    <x v="3"/>
    <s v="Incoproate"/>
    <m/>
    <d v="2020-04-11T00:00:00"/>
    <s v="Comment sheet sent by"/>
    <s v="Early"/>
  </r>
  <r>
    <x v="2"/>
    <s v="CLN-0002"/>
    <x v="3"/>
    <x v="0"/>
    <x v="0"/>
    <x v="1"/>
    <x v="2"/>
    <x v="12"/>
    <x v="12"/>
    <x v="1"/>
    <d v="2020-05-16T00:00:00"/>
    <s v="-"/>
    <s v="Aprvd-Cmnts"/>
    <d v="2020-05-20T00:00:00"/>
    <s v="None"/>
    <x v="8"/>
    <s v="-"/>
    <d v="2020-05-27T00:00:00"/>
    <s v="Late 2cd"/>
    <x v="1"/>
    <s v="None at this time"/>
    <d v="2020-05-26T00:00:00"/>
    <d v="2020-06-30T00:00:00"/>
    <s v="None at THIS time"/>
    <s v="Early"/>
  </r>
  <r>
    <x v="2"/>
    <s v="CLN-0002"/>
    <x v="3"/>
    <x v="0"/>
    <x v="0"/>
    <x v="1"/>
    <x v="2"/>
    <x v="1"/>
    <x v="13"/>
    <x v="5"/>
    <d v="2020-06-15T00:00:00"/>
    <s v="-"/>
    <m/>
    <m/>
    <s v=""/>
    <x v="2"/>
    <n v="-212"/>
    <m/>
    <s v="Late-Pending"/>
    <x v="3"/>
    <s v="Good document but missed some key required data that needs updated"/>
    <m/>
    <d v="2020-07-30T00:00:00"/>
    <s v="None at THIS time"/>
    <s v="Early"/>
  </r>
  <r>
    <x v="2"/>
    <s v="CLN-0002"/>
    <x v="3"/>
    <x v="0"/>
    <x v="0"/>
    <x v="5"/>
    <x v="3"/>
    <x v="13"/>
    <x v="14"/>
    <x v="6"/>
    <m/>
    <s v="-"/>
    <m/>
    <m/>
    <m/>
    <x v="0"/>
    <s v="-"/>
    <m/>
    <s v=""/>
    <x v="0"/>
    <m/>
    <m/>
    <m/>
    <m/>
    <s v=""/>
  </r>
  <r>
    <x v="2"/>
    <s v="CLN-0002"/>
    <x v="4"/>
    <x v="0"/>
    <x v="0"/>
    <x v="1"/>
    <x v="4"/>
    <x v="14"/>
    <x v="14"/>
    <x v="7"/>
    <m/>
    <s v="-"/>
    <m/>
    <m/>
    <m/>
    <x v="0"/>
    <s v="-"/>
    <m/>
    <s v=""/>
    <x v="0"/>
    <m/>
    <m/>
    <m/>
    <m/>
    <s v="Late"/>
  </r>
  <r>
    <x v="3"/>
    <s v="CLN-0001"/>
    <x v="5"/>
    <x v="1"/>
    <x v="7"/>
    <x v="1"/>
    <x v="4"/>
    <x v="15"/>
    <x v="15"/>
    <x v="0"/>
    <m/>
    <s v="-"/>
    <m/>
    <m/>
    <m/>
    <x v="0"/>
    <s v="-"/>
    <m/>
    <s v=""/>
    <x v="0"/>
    <m/>
    <m/>
    <m/>
    <m/>
    <s v="OnTime"/>
  </r>
  <r>
    <x v="4"/>
    <s v="CLN-0001"/>
    <x v="6"/>
    <x v="2"/>
    <x v="8"/>
    <x v="1"/>
    <x v="4"/>
    <x v="16"/>
    <x v="16"/>
    <x v="3"/>
    <m/>
    <s v="-"/>
    <m/>
    <m/>
    <m/>
    <x v="0"/>
    <s v="-"/>
    <m/>
    <s v=""/>
    <x v="0"/>
    <m/>
    <m/>
    <m/>
    <m/>
    <s v="Early"/>
  </r>
  <r>
    <x v="5"/>
    <s v="CLN-0001"/>
    <x v="7"/>
    <x v="3"/>
    <x v="9"/>
    <x v="1"/>
    <x v="4"/>
    <x v="17"/>
    <x v="17"/>
    <x v="5"/>
    <m/>
    <s v="-"/>
    <m/>
    <m/>
    <m/>
    <x v="0"/>
    <s v="-"/>
    <m/>
    <s v=""/>
    <x v="0"/>
    <m/>
    <m/>
    <m/>
    <m/>
    <s v="Early"/>
  </r>
</pivotCacheRecords>
</file>

<file path=xl/pivotCache/pivotCacheRecords6.xml><?xml version="1.0" encoding="utf-8"?>
<pivotCacheRecords xmlns="http://schemas.openxmlformats.org/spreadsheetml/2006/main" xmlns:r="http://schemas.openxmlformats.org/officeDocument/2006/relationships" count="20">
  <r>
    <x v="0"/>
    <s v="CLN-0001"/>
    <s v="A-001"/>
    <s v="ERROR: Title Not Found in LookUps"/>
    <s v="PMR"/>
    <s v="2-Resubmit1"/>
    <s v="SETA Rvw"/>
    <d v="2020-11-28T00:00:00"/>
    <d v="2020-11-28T00:00:00"/>
    <s v="OnTime"/>
    <d v="2020-06-15T00:00:00"/>
    <n v="-228"/>
    <m/>
    <m/>
    <m/>
    <m/>
    <s v="-"/>
    <m/>
    <s v=""/>
    <m/>
    <m/>
    <m/>
    <m/>
    <m/>
    <x v="0"/>
  </r>
  <r>
    <x v="0"/>
    <s v="CLN-0002"/>
    <s v="B-002"/>
    <s v="ERROR: Title Not Found in LookUps"/>
    <s v="CDR"/>
    <s v="2-Resubmit1"/>
    <s v="SETA Rvw"/>
    <d v="2020-06-01T00:00:00"/>
    <d v="2020-05-30T00:00:00"/>
    <s v="Early 2cd"/>
    <d v="2020-06-20T00:00:00"/>
    <n v="-223"/>
    <m/>
    <m/>
    <m/>
    <m/>
    <s v="-"/>
    <m/>
    <s v=""/>
    <m/>
    <m/>
    <m/>
    <m/>
    <m/>
    <x v="1"/>
  </r>
  <r>
    <x v="1"/>
    <s v="CLN-0001"/>
    <s v="B-001"/>
    <s v="ERROR: Title Not Found in LookUps"/>
    <s v="CDR"/>
    <s v="1-Initial"/>
    <s v="GPOC Rvw"/>
    <d v="2020-05-15T00:00:00"/>
    <d v="2020-05-16T00:00:00"/>
    <s v="Late 1cd"/>
    <d v="2020-06-01T00:00:00"/>
    <s v="-"/>
    <m/>
    <m/>
    <s v=""/>
    <d v="2020-06-15T00:00:00"/>
    <n v="-228"/>
    <m/>
    <s v="Late-Pending"/>
    <m/>
    <m/>
    <m/>
    <m/>
    <m/>
    <x v="2"/>
  </r>
  <r>
    <x v="1"/>
    <s v="CLN-0002"/>
    <s v="A-001"/>
    <s v="ERROR: Title Not Found in LookUps"/>
    <s v="PMR"/>
    <s v="1-Initial"/>
    <s v="GPOC Rvw"/>
    <d v="2020-05-17T00:00:00"/>
    <d v="2020-05-17T00:00:00"/>
    <s v="OnTime"/>
    <d v="2020-06-20T00:00:00"/>
    <s v="-"/>
    <m/>
    <m/>
    <s v=""/>
    <d v="2020-07-01T00:00:00"/>
    <n v="-212"/>
    <m/>
    <s v="Late-Pending"/>
    <m/>
    <m/>
    <m/>
    <m/>
    <m/>
    <x v="0"/>
  </r>
  <r>
    <x v="2"/>
    <s v="CLN-0002"/>
    <s v="A-001"/>
    <s v="ERROR: Title Not Found in LookUps"/>
    <s v="8 Oct 19, Kickoff"/>
    <s v="1-PreEvent"/>
    <s v="Complete"/>
    <d v="2019-10-01T00:00:00"/>
    <d v="2019-10-01T00:00:00"/>
    <s v="OnTime"/>
    <d v="2019-10-03T00:00:00"/>
    <s v="-"/>
    <s v="Rvwd"/>
    <d v="2019-10-02T00:00:00"/>
    <m/>
    <d v="2019-10-02T00:00:00"/>
    <s v="-"/>
    <d v="2019-10-02T00:00:00"/>
    <s v="OnTime"/>
    <s v="Rvwd"/>
    <s v="Attached are the"/>
    <d v="2019-10-02T00:00:00"/>
    <d v="2019-10-03T00:00:00"/>
    <s v="Comment sheet sent"/>
    <x v="0"/>
  </r>
  <r>
    <x v="2"/>
    <s v="CLN-0002"/>
    <s v="A-001"/>
    <s v="ERROR: Title Not Found in LookUps"/>
    <s v="8 Oct 19, Kickoff"/>
    <s v="2-Resubmit1"/>
    <s v="Complete"/>
    <d v="2019-10-03T00:00:00"/>
    <d v="2019-10-04T00:00:00"/>
    <s v="Late 1cd"/>
    <d v="2019-10-04T00:00:00"/>
    <s v="-"/>
    <s v="Rvwd"/>
    <d v="2019-10-04T00:00:00"/>
    <m/>
    <m/>
    <s v="-"/>
    <m/>
    <s v=""/>
    <m/>
    <m/>
    <m/>
    <d v="2019-10-07T00:00:00"/>
    <s v="Gov't and Cont worked"/>
    <x v="2"/>
  </r>
  <r>
    <x v="2"/>
    <s v="CLN-0002"/>
    <s v="A-001"/>
    <s v="ERROR: Title Not Found in LookUps"/>
    <s v="8 Oct 19, Kickoff"/>
    <s v="3-Resubmit2"/>
    <s v="Complete"/>
    <d v="2019-10-07T00:00:00"/>
    <d v="2019-10-07T00:00:00"/>
    <s v="OnTime"/>
    <m/>
    <s v="-"/>
    <m/>
    <m/>
    <m/>
    <m/>
    <s v="-"/>
    <m/>
    <s v=""/>
    <m/>
    <m/>
    <m/>
    <m/>
    <s v="Final Pre-Event Submit"/>
    <x v="0"/>
  </r>
  <r>
    <x v="2"/>
    <s v="CLN-0002"/>
    <s v="A-001"/>
    <s v="ERROR: Title Not Found in LookUps"/>
    <s v="8 Oct 19, Kickoff"/>
    <s v="2-PostEvent"/>
    <s v="Complete"/>
    <d v="2019-10-16T00:00:00"/>
    <d v="2019-10-15T00:00:00"/>
    <s v="Early 1cd"/>
    <d v="2019-11-01T00:00:00"/>
    <s v="-"/>
    <s v="Aprvd"/>
    <m/>
    <s v=""/>
    <d v="2019-11-15T00:00:00"/>
    <s v="-"/>
    <d v="2019-11-14T00:00:00"/>
    <s v="Early 1cd"/>
    <s v="Aprvd"/>
    <s v="None at this time"/>
    <d v="2019-11-12T00:00:00"/>
    <m/>
    <s v="None"/>
    <x v="1"/>
  </r>
  <r>
    <x v="2"/>
    <s v="CLN-0002"/>
    <s v="A-001"/>
    <s v="ERROR: Title Not Found in LookUps"/>
    <s v="13 Nov 19, PMR"/>
    <s v="1-PreEvent"/>
    <s v="Complete"/>
    <d v="2019-11-07T00:00:00"/>
    <d v="2019-11-07T00:00:00"/>
    <s v="OnTime"/>
    <d v="2019-11-11T00:00:00"/>
    <s v="-"/>
    <s v="Rvwd"/>
    <d v="2019-11-12T00:00:00"/>
    <s v=""/>
    <m/>
    <s v="-"/>
    <m/>
    <s v=""/>
    <m/>
    <m/>
    <m/>
    <m/>
    <s v="COTR approved (via email)"/>
    <x v="0"/>
  </r>
  <r>
    <x v="2"/>
    <s v="CLN-0002"/>
    <s v="A-001"/>
    <s v="ERROR: Title Not Found in LookUps"/>
    <s v="25 Nov 19, Delta Seg Req"/>
    <s v="1-PreEvent"/>
    <s v="Complete"/>
    <d v="2019-11-18T00:00:00"/>
    <d v="2019-11-15T00:00:00"/>
    <s v="Early 3cd"/>
    <d v="2019-11-19T00:00:00"/>
    <s v="-"/>
    <s v="Rvwd"/>
    <d v="2019-11-20T00:00:00"/>
    <s v=""/>
    <d v="2019-12-19T00:00:00"/>
    <n v="-407"/>
    <m/>
    <s v="Late-Pending"/>
    <m/>
    <s v="We have"/>
    <m/>
    <m/>
    <s v="Also reference B-011"/>
    <x v="1"/>
  </r>
  <r>
    <x v="2"/>
    <s v="CLN-0002"/>
    <s v="A-001"/>
    <s v="ERROR: Title Not Found in LookUps"/>
    <s v="22 Jan 20,PMR"/>
    <s v="2-PostEvent"/>
    <s v="SETA Rvw"/>
    <d v="2020-01-29T00:00:00"/>
    <d v="2020-01-28T00:00:00"/>
    <s v="Early 1cd"/>
    <d v="2020-02-15T00:00:00"/>
    <n v="-349"/>
    <m/>
    <d v="2019-12-11T00:00:00"/>
    <m/>
    <m/>
    <s v="-"/>
    <d v="2019-12-16T00:00:00"/>
    <s v=""/>
    <m/>
    <m/>
    <m/>
    <m/>
    <m/>
    <x v="1"/>
  </r>
  <r>
    <x v="2"/>
    <s v="CLN-0002"/>
    <s v="A-001"/>
    <s v="ERROR: Title Not Found in LookUps"/>
    <s v="22 Jan 20,PMR"/>
    <s v="2-PostEvent"/>
    <s v="GPOC Rvw"/>
    <d v="2020-01-29T00:00:00"/>
    <d v="2020-01-28T00:00:00"/>
    <s v="Early 1cd"/>
    <d v="2020-02-15T00:00:00"/>
    <s v="-"/>
    <s v="Rvwd"/>
    <d v="2020-01-21T00:00:00"/>
    <s v=""/>
    <d v="2020-03-01T00:00:00"/>
    <n v="-334"/>
    <m/>
    <s v="Late-Pending"/>
    <s v="Aprvd-UReqd"/>
    <m/>
    <m/>
    <d v="2020-03-15T00:00:00"/>
    <s v="J. Reed agreed (email)"/>
    <x v="1"/>
  </r>
  <r>
    <x v="2"/>
    <s v="CLN-0002"/>
    <s v="A-001"/>
    <s v="ERROR: Title Not Found in LookUps"/>
    <s v="18 Mar 20, PMR w/C2S"/>
    <s v="1-PreEvent"/>
    <s v="Complete"/>
    <d v="2020-03-11T00:00:00"/>
    <d v="2020-03-10T00:00:00"/>
    <s v="Early 1cd"/>
    <d v="2020-03-30T00:00:00"/>
    <s v="-"/>
    <m/>
    <m/>
    <s v=""/>
    <d v="2020-04-11T00:00:00"/>
    <s v="-"/>
    <d v="2019-11-21T00:00:00"/>
    <s v="Early 142cd"/>
    <s v="Aprvd-UReqd"/>
    <s v="Incoproate"/>
    <m/>
    <d v="2020-04-11T00:00:00"/>
    <s v="Comment sheet sent by"/>
    <x v="1"/>
  </r>
  <r>
    <x v="2"/>
    <s v="CLN-0002"/>
    <s v="A-002"/>
    <s v="ERROR: Title Not Found in LookUps"/>
    <s v="PMR"/>
    <s v="1-Initial"/>
    <s v="Complete"/>
    <d v="2020-05-05T00:00:00"/>
    <d v="2020-05-03T00:00:00"/>
    <s v="Early 2cd"/>
    <d v="2020-05-16T00:00:00"/>
    <s v="-"/>
    <s v="Aprvd-Cmnts"/>
    <d v="2020-05-20T00:00:00"/>
    <s v="None"/>
    <d v="2020-05-25T00:00:00"/>
    <s v="-"/>
    <d v="2020-05-27T00:00:00"/>
    <s v="Late 2cd"/>
    <s v="Rvwd"/>
    <s v="None at this time"/>
    <d v="2020-05-26T00:00:00"/>
    <d v="2020-06-30T00:00:00"/>
    <s v="None at THIS time"/>
    <x v="1"/>
  </r>
  <r>
    <x v="2"/>
    <s v="CLN-0002"/>
    <s v="A-002"/>
    <s v="ERROR: Title Not Found in LookUps"/>
    <s v="PMR"/>
    <s v="1-Initial"/>
    <s v="Complete"/>
    <d v="2020-06-01T00:00:00"/>
    <d v="2020-05-28T00:00:00"/>
    <s v="Early 4cd"/>
    <d v="2020-06-15T00:00:00"/>
    <s v="-"/>
    <m/>
    <m/>
    <s v=""/>
    <d v="2020-07-01T00:00:00"/>
    <n v="-212"/>
    <m/>
    <s v="Late-Pending"/>
    <s v="Aprvd-UReqd"/>
    <s v="Good document but missed some key required data that needs updated"/>
    <m/>
    <d v="2020-07-30T00:00:00"/>
    <s v="None at THIS time"/>
    <x v="1"/>
  </r>
  <r>
    <x v="2"/>
    <s v="CLN-0002"/>
    <s v="A-002"/>
    <s v="ERROR: Title Not Found in LookUps"/>
    <s v="PMR"/>
    <m/>
    <m/>
    <m/>
    <m/>
    <s v=""/>
    <m/>
    <s v="-"/>
    <m/>
    <m/>
    <m/>
    <m/>
    <s v="-"/>
    <m/>
    <s v=""/>
    <m/>
    <m/>
    <m/>
    <m/>
    <m/>
    <x v="3"/>
  </r>
  <r>
    <x v="2"/>
    <s v="CLN-0002"/>
    <s v="A-004"/>
    <s v="ERROR: Title Not Found in LookUps"/>
    <s v="PMR"/>
    <s v="1-Initial"/>
    <s v="Waiting Dlvry"/>
    <d v="2020-06-15T00:00:00"/>
    <m/>
    <s v="Late-Pending"/>
    <m/>
    <s v="-"/>
    <m/>
    <m/>
    <m/>
    <m/>
    <s v="-"/>
    <m/>
    <s v=""/>
    <m/>
    <m/>
    <m/>
    <m/>
    <m/>
    <x v="2"/>
  </r>
  <r>
    <x v="3"/>
    <s v="CLN-0001"/>
    <s v="T-004"/>
    <s v="Test and Evaluation Program Plan (TEPP)"/>
    <s v="TEST"/>
    <s v="1-Initial"/>
    <s v="Waiting Dlvry"/>
    <d v="2020-11-03T00:00:00"/>
    <d v="2020-11-03T00:00:00"/>
    <s v="OnTime"/>
    <m/>
    <s v="-"/>
    <m/>
    <m/>
    <m/>
    <m/>
    <s v="-"/>
    <m/>
    <s v=""/>
    <m/>
    <m/>
    <m/>
    <m/>
    <m/>
    <x v="0"/>
  </r>
  <r>
    <x v="4"/>
    <s v="CLN-0001"/>
    <s v="A-005"/>
    <s v="Integrated Master Schedule (IMS)"/>
    <s v="TEST 2"/>
    <s v="1-Initial"/>
    <s v="Waiting Dlvry"/>
    <d v="2020-11-05T00:00:00"/>
    <d v="2020-11-04T00:00:00"/>
    <s v="Early 1cd"/>
    <m/>
    <s v="-"/>
    <m/>
    <m/>
    <m/>
    <m/>
    <s v="-"/>
    <m/>
    <s v=""/>
    <m/>
    <m/>
    <m/>
    <m/>
    <m/>
    <x v="1"/>
  </r>
  <r>
    <x v="5"/>
    <s v="CLN-0001"/>
    <s v="T-014"/>
    <s v="Test Report"/>
    <s v="TEST 3"/>
    <s v="1-Initial"/>
    <s v="Waiting Dlvry"/>
    <d v="2020-11-06T00:00:00"/>
    <d v="2020-11-02T00:00:00"/>
    <s v="Early 4cd"/>
    <m/>
    <s v="-"/>
    <m/>
    <m/>
    <m/>
    <m/>
    <s v="-"/>
    <m/>
    <s v=""/>
    <m/>
    <m/>
    <m/>
    <m/>
    <m/>
    <x v="1"/>
  </r>
</pivotCacheRecords>
</file>

<file path=xl/pivotCache/pivotCacheRecords7.xml><?xml version="1.0" encoding="utf-8"?>
<pivotCacheRecords xmlns="http://schemas.openxmlformats.org/spreadsheetml/2006/main" xmlns:r="http://schemas.openxmlformats.org/officeDocument/2006/relationships" count="20">
  <r>
    <x v="0"/>
    <s v="CLN-0001"/>
    <x v="0"/>
    <s v="ERROR: Title Not Found in LookUps"/>
    <s v="PMR"/>
    <s v="2-Resubmit1"/>
    <s v="SETA Rvw"/>
    <d v="2020-11-28T00:00:00"/>
    <d v="2020-11-28T00:00:00"/>
    <s v="OnTime"/>
    <d v="2020-06-15T00:00:00"/>
    <n v="-228"/>
    <m/>
    <m/>
    <m/>
    <m/>
    <s v="-"/>
    <m/>
    <s v=""/>
    <x v="0"/>
    <m/>
    <m/>
    <m/>
    <m/>
    <s v="OnTime"/>
  </r>
  <r>
    <x v="0"/>
    <s v="CLN-0002"/>
    <x v="1"/>
    <s v="ERROR: Title Not Found in LookUps"/>
    <s v="CDR"/>
    <s v="2-Resubmit1"/>
    <s v="SETA Rvw"/>
    <d v="2020-06-01T00:00:00"/>
    <d v="2020-05-30T00:00:00"/>
    <s v="Early 2cd"/>
    <d v="2020-06-20T00:00:00"/>
    <n v="-223"/>
    <m/>
    <m/>
    <m/>
    <m/>
    <s v="-"/>
    <m/>
    <s v=""/>
    <x v="0"/>
    <m/>
    <m/>
    <m/>
    <m/>
    <s v="Early"/>
  </r>
  <r>
    <x v="1"/>
    <s v="CLN-0001"/>
    <x v="2"/>
    <s v="ERROR: Title Not Found in LookUps"/>
    <s v="CDR"/>
    <s v="1-Initial"/>
    <s v="GPOC Rvw"/>
    <d v="2020-05-15T00:00:00"/>
    <d v="2020-05-16T00:00:00"/>
    <s v="Late 1cd"/>
    <d v="2020-06-01T00:00:00"/>
    <s v="-"/>
    <m/>
    <m/>
    <s v=""/>
    <d v="2020-06-15T00:00:00"/>
    <n v="-228"/>
    <m/>
    <s v="Late-Pending"/>
    <x v="0"/>
    <m/>
    <m/>
    <m/>
    <m/>
    <s v="Late"/>
  </r>
  <r>
    <x v="1"/>
    <s v="CLN-0002"/>
    <x v="0"/>
    <s v="ERROR: Title Not Found in LookUps"/>
    <s v="PMR"/>
    <s v="1-Initial"/>
    <s v="GPOC Rvw"/>
    <d v="2020-05-17T00:00:00"/>
    <d v="2020-05-17T00:00:00"/>
    <s v="OnTime"/>
    <d v="2020-06-20T00:00:00"/>
    <s v="-"/>
    <m/>
    <m/>
    <s v=""/>
    <d v="2020-07-01T00:00:00"/>
    <n v="-212"/>
    <m/>
    <s v="Late-Pending"/>
    <x v="0"/>
    <m/>
    <m/>
    <m/>
    <m/>
    <s v="OnTime"/>
  </r>
  <r>
    <x v="2"/>
    <s v="CLN-0002"/>
    <x v="0"/>
    <s v="ERROR: Title Not Found in LookUps"/>
    <s v="8 Oct 19, Kickoff"/>
    <s v="1-PreEvent"/>
    <s v="Complete"/>
    <d v="2019-10-01T00:00:00"/>
    <d v="2019-10-01T00:00:00"/>
    <s v="OnTime"/>
    <d v="2019-10-03T00:00:00"/>
    <s v="-"/>
    <s v="Rvwd"/>
    <d v="2019-10-02T00:00:00"/>
    <m/>
    <d v="2019-10-02T00:00:00"/>
    <s v="-"/>
    <d v="2019-10-02T00:00:00"/>
    <s v="OnTime"/>
    <x v="1"/>
    <s v="Attached are the"/>
    <d v="2019-10-02T00:00:00"/>
    <d v="2019-10-03T00:00:00"/>
    <s v="Comment sheet sent"/>
    <s v="OnTime"/>
  </r>
  <r>
    <x v="2"/>
    <s v="CLN-0002"/>
    <x v="0"/>
    <s v="ERROR: Title Not Found in LookUps"/>
    <s v="8 Oct 19, Kickoff"/>
    <s v="2-Resubmit1"/>
    <s v="Complete"/>
    <d v="2019-10-03T00:00:00"/>
    <d v="2019-10-04T00:00:00"/>
    <s v="Late 1cd"/>
    <d v="2019-10-04T00:00:00"/>
    <s v="-"/>
    <s v="Rvwd"/>
    <d v="2019-10-04T00:00:00"/>
    <m/>
    <m/>
    <s v="-"/>
    <m/>
    <s v=""/>
    <x v="0"/>
    <m/>
    <m/>
    <d v="2019-10-07T00:00:00"/>
    <s v="Gov't and Cont worked"/>
    <s v="Late"/>
  </r>
  <r>
    <x v="2"/>
    <s v="CLN-0002"/>
    <x v="0"/>
    <s v="ERROR: Title Not Found in LookUps"/>
    <s v="8 Oct 19, Kickoff"/>
    <s v="3-Resubmit2"/>
    <s v="Complete"/>
    <d v="2019-10-07T00:00:00"/>
    <d v="2019-10-07T00:00:00"/>
    <s v="OnTime"/>
    <m/>
    <s v="-"/>
    <m/>
    <m/>
    <m/>
    <m/>
    <s v="-"/>
    <m/>
    <s v=""/>
    <x v="0"/>
    <m/>
    <m/>
    <m/>
    <s v="Final Pre-Event Submit"/>
    <s v="OnTime"/>
  </r>
  <r>
    <x v="2"/>
    <s v="CLN-0002"/>
    <x v="0"/>
    <s v="ERROR: Title Not Found in LookUps"/>
    <s v="8 Oct 19, Kickoff"/>
    <s v="2-PostEvent"/>
    <s v="Complete"/>
    <d v="2019-10-16T00:00:00"/>
    <d v="2019-10-15T00:00:00"/>
    <s v="Early 1cd"/>
    <d v="2019-11-01T00:00:00"/>
    <s v="-"/>
    <s v="Aprvd"/>
    <m/>
    <s v=""/>
    <d v="2019-11-15T00:00:00"/>
    <s v="-"/>
    <d v="2019-11-14T00:00:00"/>
    <s v="Early 1cd"/>
    <x v="2"/>
    <s v="None at this time"/>
    <d v="2019-11-12T00:00:00"/>
    <m/>
    <s v="None"/>
    <s v="Early"/>
  </r>
  <r>
    <x v="2"/>
    <s v="CLN-0002"/>
    <x v="0"/>
    <s v="ERROR: Title Not Found in LookUps"/>
    <s v="13 Nov 19, PMR"/>
    <s v="1-PreEvent"/>
    <s v="Complete"/>
    <d v="2019-11-07T00:00:00"/>
    <d v="2019-11-07T00:00:00"/>
    <s v="OnTime"/>
    <d v="2019-11-11T00:00:00"/>
    <s v="-"/>
    <s v="Rvwd"/>
    <d v="2019-11-12T00:00:00"/>
    <s v=""/>
    <m/>
    <s v="-"/>
    <m/>
    <s v=""/>
    <x v="0"/>
    <m/>
    <m/>
    <m/>
    <s v="COTR approved (via email)"/>
    <s v="OnTime"/>
  </r>
  <r>
    <x v="2"/>
    <s v="CLN-0002"/>
    <x v="0"/>
    <s v="ERROR: Title Not Found in LookUps"/>
    <s v="25 Nov 19, Delta Seg Req"/>
    <s v="1-PreEvent"/>
    <s v="Complete"/>
    <d v="2019-11-18T00:00:00"/>
    <d v="2019-11-15T00:00:00"/>
    <s v="Early 3cd"/>
    <d v="2019-11-19T00:00:00"/>
    <s v="-"/>
    <s v="Rvwd"/>
    <d v="2019-11-20T00:00:00"/>
    <s v=""/>
    <d v="2019-12-19T00:00:00"/>
    <n v="-407"/>
    <m/>
    <s v="Late-Pending"/>
    <x v="0"/>
    <s v="We have"/>
    <m/>
    <m/>
    <s v="Also reference B-011"/>
    <s v="Early"/>
  </r>
  <r>
    <x v="2"/>
    <s v="CLN-0002"/>
    <x v="0"/>
    <s v="ERROR: Title Not Found in LookUps"/>
    <s v="22 Jan 20,PMR"/>
    <s v="2-PostEvent"/>
    <s v="SETA Rvw"/>
    <d v="2020-01-29T00:00:00"/>
    <d v="2020-01-28T00:00:00"/>
    <s v="Early 1cd"/>
    <d v="2020-02-15T00:00:00"/>
    <n v="-349"/>
    <m/>
    <d v="2019-12-11T00:00:00"/>
    <m/>
    <m/>
    <s v="-"/>
    <d v="2019-12-16T00:00:00"/>
    <s v=""/>
    <x v="0"/>
    <m/>
    <m/>
    <m/>
    <m/>
    <s v="Early"/>
  </r>
  <r>
    <x v="2"/>
    <s v="CLN-0002"/>
    <x v="0"/>
    <s v="ERROR: Title Not Found in LookUps"/>
    <s v="22 Jan 20,PMR"/>
    <s v="2-PostEvent"/>
    <s v="GPOC Rvw"/>
    <d v="2020-01-29T00:00:00"/>
    <d v="2020-01-28T00:00:00"/>
    <s v="Early 1cd"/>
    <d v="2020-02-15T00:00:00"/>
    <s v="-"/>
    <s v="Rvwd"/>
    <d v="2020-01-21T00:00:00"/>
    <s v=""/>
    <d v="2020-03-01T00:00:00"/>
    <n v="-334"/>
    <m/>
    <s v="Late-Pending"/>
    <x v="3"/>
    <m/>
    <m/>
    <d v="2020-03-15T00:00:00"/>
    <s v="J. Reed agreed (email)"/>
    <s v="Early"/>
  </r>
  <r>
    <x v="2"/>
    <s v="CLN-0002"/>
    <x v="0"/>
    <s v="ERROR: Title Not Found in LookUps"/>
    <s v="18 Mar 20, PMR w/C2S"/>
    <s v="1-PreEvent"/>
    <s v="Complete"/>
    <d v="2020-03-11T00:00:00"/>
    <d v="2020-03-10T00:00:00"/>
    <s v="Early 1cd"/>
    <d v="2020-03-30T00:00:00"/>
    <s v="-"/>
    <m/>
    <m/>
    <s v=""/>
    <d v="2020-04-11T00:00:00"/>
    <s v="-"/>
    <d v="2019-11-21T00:00:00"/>
    <s v="Early 142cd"/>
    <x v="3"/>
    <s v="Incoproate"/>
    <m/>
    <d v="2020-04-11T00:00:00"/>
    <s v="Comment sheet sent by"/>
    <s v="Early"/>
  </r>
  <r>
    <x v="2"/>
    <s v="CLN-0002"/>
    <x v="3"/>
    <s v="ERROR: Title Not Found in LookUps"/>
    <s v="PMR"/>
    <s v="1-Initial"/>
    <s v="Complete"/>
    <d v="2020-05-05T00:00:00"/>
    <d v="2020-05-03T00:00:00"/>
    <s v="Early 2cd"/>
    <d v="2020-05-16T00:00:00"/>
    <s v="-"/>
    <s v="Aprvd-Cmnts"/>
    <d v="2020-05-20T00:00:00"/>
    <s v="None"/>
    <d v="2020-05-25T00:00:00"/>
    <s v="-"/>
    <d v="2020-05-27T00:00:00"/>
    <s v="Late 2cd"/>
    <x v="1"/>
    <s v="None at this time"/>
    <d v="2020-05-26T00:00:00"/>
    <d v="2020-06-30T00:00:00"/>
    <s v="None at THIS time"/>
    <s v="Early"/>
  </r>
  <r>
    <x v="2"/>
    <s v="CLN-0002"/>
    <x v="3"/>
    <s v="ERROR: Title Not Found in LookUps"/>
    <s v="PMR"/>
    <s v="1-Initial"/>
    <s v="Complete"/>
    <d v="2020-06-01T00:00:00"/>
    <d v="2020-05-28T00:00:00"/>
    <s v="Early 4cd"/>
    <d v="2020-06-15T00:00:00"/>
    <s v="-"/>
    <m/>
    <m/>
    <s v=""/>
    <d v="2020-07-01T00:00:00"/>
    <n v="-212"/>
    <m/>
    <s v="Late-Pending"/>
    <x v="3"/>
    <s v="Good document but missed some key required data that needs updated"/>
    <m/>
    <d v="2020-07-30T00:00:00"/>
    <s v="None at THIS time"/>
    <s v="Early"/>
  </r>
  <r>
    <x v="2"/>
    <s v="CLN-0002"/>
    <x v="3"/>
    <s v="ERROR: Title Not Found in LookUps"/>
    <s v="PMR"/>
    <m/>
    <m/>
    <m/>
    <m/>
    <s v=""/>
    <m/>
    <s v="-"/>
    <m/>
    <m/>
    <m/>
    <m/>
    <s v="-"/>
    <m/>
    <s v=""/>
    <x v="0"/>
    <m/>
    <m/>
    <m/>
    <m/>
    <s v=""/>
  </r>
  <r>
    <x v="2"/>
    <s v="CLN-0002"/>
    <x v="4"/>
    <s v="ERROR: Title Not Found in LookUps"/>
    <s v="PMR"/>
    <s v="1-Initial"/>
    <s v="Waiting Dlvry"/>
    <d v="2020-06-15T00:00:00"/>
    <m/>
    <s v="Late-Pending"/>
    <m/>
    <s v="-"/>
    <m/>
    <m/>
    <m/>
    <m/>
    <s v="-"/>
    <m/>
    <s v=""/>
    <x v="0"/>
    <m/>
    <m/>
    <m/>
    <m/>
    <s v="Late"/>
  </r>
  <r>
    <x v="3"/>
    <s v="CLN-0001"/>
    <x v="5"/>
    <s v="Test and Evaluation Program Plan (TEPP)"/>
    <s v="TEST"/>
    <s v="1-Initial"/>
    <s v="Waiting Dlvry"/>
    <d v="2020-11-03T00:00:00"/>
    <d v="2020-11-03T00:00:00"/>
    <s v="OnTime"/>
    <m/>
    <s v="-"/>
    <m/>
    <m/>
    <m/>
    <m/>
    <s v="-"/>
    <m/>
    <s v=""/>
    <x v="0"/>
    <m/>
    <m/>
    <m/>
    <m/>
    <s v="OnTime"/>
  </r>
  <r>
    <x v="4"/>
    <s v="CLN-0001"/>
    <x v="6"/>
    <s v="Integrated Master Schedule (IMS)"/>
    <s v="TEST 2"/>
    <s v="1-Initial"/>
    <s v="Waiting Dlvry"/>
    <d v="2020-11-05T00:00:00"/>
    <d v="2020-11-04T00:00:00"/>
    <s v="Early 1cd"/>
    <m/>
    <s v="-"/>
    <m/>
    <m/>
    <m/>
    <m/>
    <s v="-"/>
    <m/>
    <s v=""/>
    <x v="0"/>
    <m/>
    <m/>
    <m/>
    <m/>
    <s v="Early"/>
  </r>
  <r>
    <x v="5"/>
    <s v="CLN-0001"/>
    <x v="7"/>
    <s v="Test Report"/>
    <s v="TEST 3"/>
    <s v="1-Initial"/>
    <s v="Waiting Dlvry"/>
    <d v="2020-11-06T00:00:00"/>
    <d v="2020-11-02T00:00:00"/>
    <s v="Early 4cd"/>
    <m/>
    <s v="-"/>
    <m/>
    <m/>
    <m/>
    <m/>
    <s v="-"/>
    <m/>
    <s v=""/>
    <x v="0"/>
    <m/>
    <m/>
    <m/>
    <m/>
    <s v="Ea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CDRLsLate" cacheId="52"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22:J23" firstHeaderRow="1" firstDataRow="1" firstDataCol="9"/>
  <pivotFields count="25">
    <pivotField axis="axisRow" compact="0" outline="0" showAll="0" defaultSubtotal="0">
      <items count="6">
        <item x="0"/>
        <item x="1"/>
        <item x="2"/>
        <item x="3"/>
        <item x="4"/>
        <item x="5"/>
      </items>
    </pivotField>
    <pivotField axis="axisRow" compact="0" outline="0" showAll="0" defaultSubtotal="0">
      <items count="2">
        <item x="0"/>
        <item x="1"/>
      </items>
    </pivotField>
    <pivotField axis="axisRow" compact="0" outline="0" showAll="0" defaultSubtotal="0">
      <items count="8">
        <item x="0"/>
        <item x="3"/>
        <item x="4"/>
        <item x="6"/>
        <item x="2"/>
        <item x="1"/>
        <item x="5"/>
        <item x="7"/>
      </items>
    </pivotField>
    <pivotField axis="axisRow" compact="0" outline="0" showAll="0" defaultSubtotal="0">
      <items count="4">
        <item x="0"/>
        <item x="2"/>
        <item x="1"/>
        <item x="3"/>
      </items>
    </pivotField>
    <pivotField axis="axisRow" compact="0" outline="0" showAll="0" defaultSubtotal="0">
      <items count="10">
        <item x="3"/>
        <item x="6"/>
        <item x="5"/>
        <item x="4"/>
        <item x="2"/>
        <item x="1"/>
        <item x="0"/>
        <item x="7"/>
        <item x="8"/>
        <item x="9"/>
      </items>
    </pivotField>
    <pivotField axis="axisRow" compact="0" outline="0" showAll="0" defaultSubtotal="0">
      <items count="6">
        <item x="1"/>
        <item x="2"/>
        <item x="4"/>
        <item x="0"/>
        <item x="3"/>
        <item x="5"/>
      </items>
    </pivotField>
    <pivotField compact="0" outline="0" showAll="0"/>
    <pivotField axis="axisRow" compact="0" outline="0" showAll="0" defaultSubtotal="0">
      <items count="18">
        <item x="4"/>
        <item x="5"/>
        <item x="6"/>
        <item x="7"/>
        <item x="8"/>
        <item x="9"/>
        <item x="10"/>
        <item x="11"/>
        <item x="12"/>
        <item x="2"/>
        <item x="3"/>
        <item x="1"/>
        <item x="14"/>
        <item x="15"/>
        <item x="16"/>
        <item x="17"/>
        <item x="0"/>
        <item x="13"/>
      </items>
    </pivotField>
    <pivotField compact="0" outline="0" showAll="0"/>
    <pivotField axis="axisRow" compact="0" outline="0" showAll="0" defaultSubtotal="0">
      <items count="8">
        <item x="6"/>
        <item x="3"/>
        <item x="1"/>
        <item x="4"/>
        <item x="5"/>
        <item x="2"/>
        <item x="7"/>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9">
    <field x="0"/>
    <field x="1"/>
    <field x="7"/>
    <field x="9"/>
    <field x="2"/>
    <field x="3"/>
    <field x="4"/>
    <field x="5"/>
    <field x="23"/>
  </rowFields>
  <rowItems count="1">
    <i>
      <x v="2"/>
      <x v="1"/>
      <x v="12"/>
      <x v="6"/>
      <x v="2"/>
      <x/>
      <x v="6"/>
      <x/>
      <x v="9"/>
    </i>
  </rowItems>
  <colItems count="1">
    <i/>
  </colItems>
  <formats count="43">
    <format dxfId="372">
      <pivotArea field="0" type="button" dataOnly="0" labelOnly="1" outline="0" axis="axisRow" fieldPosition="0"/>
    </format>
    <format dxfId="371">
      <pivotArea field="1" type="button" dataOnly="0" labelOnly="1" outline="0" axis="axisRow" fieldPosition="1"/>
    </format>
    <format dxfId="370">
      <pivotArea field="7" type="button" dataOnly="0" labelOnly="1" outline="0" axis="axisRow" fieldPosition="2"/>
    </format>
    <format dxfId="369">
      <pivotArea field="9" type="button" dataOnly="0" labelOnly="1" outline="0" axis="axisRow" fieldPosition="3"/>
    </format>
    <format dxfId="368">
      <pivotArea field="2" type="button" dataOnly="0" labelOnly="1" outline="0" axis="axisRow" fieldPosition="4"/>
    </format>
    <format dxfId="367">
      <pivotArea field="3" type="button" dataOnly="0" labelOnly="1" outline="0" axis="axisRow" fieldPosition="5"/>
    </format>
    <format dxfId="366">
      <pivotArea field="4" type="button" dataOnly="0" labelOnly="1" outline="0" axis="axisRow" fieldPosition="6"/>
    </format>
    <format dxfId="365">
      <pivotArea field="5" type="button" dataOnly="0" labelOnly="1" outline="0" axis="axisRow" fieldPosition="7"/>
    </format>
    <format dxfId="364">
      <pivotArea field="23" type="button" dataOnly="0" labelOnly="1" outline="0" axis="axisRow" fieldPosition="8"/>
    </format>
    <format dxfId="363">
      <pivotArea field="0" type="button" dataOnly="0" labelOnly="1" outline="0" axis="axisRow" fieldPosition="0"/>
    </format>
    <format dxfId="362">
      <pivotArea field="1" type="button" dataOnly="0" labelOnly="1" outline="0" axis="axisRow" fieldPosition="1"/>
    </format>
    <format dxfId="361">
      <pivotArea field="7" type="button" dataOnly="0" labelOnly="1" outline="0" axis="axisRow" fieldPosition="2"/>
    </format>
    <format dxfId="360">
      <pivotArea field="9" type="button" dataOnly="0" labelOnly="1" outline="0" axis="axisRow" fieldPosition="3"/>
    </format>
    <format dxfId="359">
      <pivotArea field="2" type="button" dataOnly="0" labelOnly="1" outline="0" axis="axisRow" fieldPosition="4"/>
    </format>
    <format dxfId="358">
      <pivotArea field="3" type="button" dataOnly="0" labelOnly="1" outline="0" axis="axisRow" fieldPosition="5"/>
    </format>
    <format dxfId="357">
      <pivotArea field="4" type="button" dataOnly="0" labelOnly="1" outline="0" axis="axisRow" fieldPosition="6"/>
    </format>
    <format dxfId="356">
      <pivotArea field="5" type="button" dataOnly="0" labelOnly="1" outline="0" axis="axisRow" fieldPosition="7"/>
    </format>
    <format dxfId="355">
      <pivotArea field="23" type="button" dataOnly="0" labelOnly="1" outline="0" axis="axisRow" fieldPosition="8"/>
    </format>
    <format dxfId="354">
      <pivotArea field="0" type="button" dataOnly="0" labelOnly="1" outline="0" axis="axisRow" fieldPosition="0"/>
    </format>
    <format dxfId="353">
      <pivotArea field="1" type="button" dataOnly="0" labelOnly="1" outline="0" axis="axisRow" fieldPosition="1"/>
    </format>
    <format dxfId="352">
      <pivotArea field="7" type="button" dataOnly="0" labelOnly="1" outline="0" axis="axisRow" fieldPosition="2"/>
    </format>
    <format dxfId="351">
      <pivotArea field="9" type="button" dataOnly="0" labelOnly="1" outline="0" axis="axisRow" fieldPosition="3"/>
    </format>
    <format dxfId="350">
      <pivotArea field="2" type="button" dataOnly="0" labelOnly="1" outline="0" axis="axisRow" fieldPosition="4"/>
    </format>
    <format dxfId="349">
      <pivotArea field="3" type="button" dataOnly="0" labelOnly="1" outline="0" axis="axisRow" fieldPosition="5"/>
    </format>
    <format dxfId="348">
      <pivotArea field="4" type="button" dataOnly="0" labelOnly="1" outline="0" axis="axisRow" fieldPosition="6"/>
    </format>
    <format dxfId="347">
      <pivotArea field="5" type="button" dataOnly="0" labelOnly="1" outline="0" axis="axisRow" fieldPosition="7"/>
    </format>
    <format dxfId="346">
      <pivotArea field="23" type="button" dataOnly="0" labelOnly="1" outline="0" axis="axisRow" fieldPosition="8"/>
    </format>
    <format dxfId="345">
      <pivotArea field="0" type="button" dataOnly="0" labelOnly="1" outline="0" axis="axisRow" fieldPosition="0"/>
    </format>
    <format dxfId="344">
      <pivotArea field="1" type="button" dataOnly="0" labelOnly="1" outline="0" axis="axisRow" fieldPosition="1"/>
    </format>
    <format dxfId="343">
      <pivotArea field="7" type="button" dataOnly="0" labelOnly="1" outline="0" axis="axisRow" fieldPosition="2"/>
    </format>
    <format dxfId="342">
      <pivotArea field="9" type="button" dataOnly="0" labelOnly="1" outline="0" axis="axisRow" fieldPosition="3"/>
    </format>
    <format dxfId="341">
      <pivotArea field="2" type="button" dataOnly="0" labelOnly="1" outline="0" axis="axisRow" fieldPosition="4"/>
    </format>
    <format dxfId="340">
      <pivotArea dataOnly="0" labelOnly="1" outline="0" fieldPosition="0">
        <references count="1">
          <reference field="0" count="1">
            <x v="2"/>
          </reference>
        </references>
      </pivotArea>
    </format>
    <format dxfId="339">
      <pivotArea dataOnly="0" labelOnly="1" outline="0" fieldPosition="0">
        <references count="2">
          <reference field="0" count="1" selected="0">
            <x v="2"/>
          </reference>
          <reference field="1" count="1">
            <x v="1"/>
          </reference>
        </references>
      </pivotArea>
    </format>
    <format dxfId="338">
      <pivotArea dataOnly="0" labelOnly="1" outline="0" fieldPosition="0">
        <references count="3">
          <reference field="0" count="1" selected="0">
            <x v="2"/>
          </reference>
          <reference field="1" count="1" selected="0">
            <x v="1"/>
          </reference>
          <reference field="7" count="1">
            <x v="12"/>
          </reference>
        </references>
      </pivotArea>
    </format>
    <format dxfId="337">
      <pivotArea dataOnly="0" labelOnly="1" outline="0" fieldPosition="0">
        <references count="4">
          <reference field="0" count="1" selected="0">
            <x v="2"/>
          </reference>
          <reference field="1" count="1" selected="0">
            <x v="1"/>
          </reference>
          <reference field="7" count="1" selected="0">
            <x v="12"/>
          </reference>
          <reference field="9" count="1">
            <x v="6"/>
          </reference>
        </references>
      </pivotArea>
    </format>
    <format dxfId="336">
      <pivotArea dataOnly="0" labelOnly="1" outline="0" fieldPosition="0">
        <references count="5">
          <reference field="0" count="1" selected="0">
            <x v="2"/>
          </reference>
          <reference field="1" count="1" selected="0">
            <x v="1"/>
          </reference>
          <reference field="2" count="1">
            <x v="2"/>
          </reference>
          <reference field="7" count="1" selected="0">
            <x v="12"/>
          </reference>
          <reference field="9" count="1" selected="0">
            <x v="6"/>
          </reference>
        </references>
      </pivotArea>
    </format>
    <format dxfId="294">
      <pivotArea field="4" type="button" dataOnly="0" labelOnly="1" outline="0" axis="axisRow" fieldPosition="6"/>
    </format>
    <format dxfId="293">
      <pivotArea dataOnly="0" labelOnly="1" outline="0" fieldPosition="0">
        <references count="7">
          <reference field="0" count="1" selected="0">
            <x v="2"/>
          </reference>
          <reference field="1" count="1" selected="0">
            <x v="1"/>
          </reference>
          <reference field="2" count="1" selected="0">
            <x v="2"/>
          </reference>
          <reference field="3" count="1" selected="0">
            <x v="0"/>
          </reference>
          <reference field="4" count="1">
            <x v="6"/>
          </reference>
          <reference field="7" count="1" selected="0">
            <x v="12"/>
          </reference>
          <reference field="9" count="1" selected="0">
            <x v="6"/>
          </reference>
        </references>
      </pivotArea>
    </format>
    <format dxfId="282">
      <pivotArea field="5" type="button" dataOnly="0" labelOnly="1" outline="0" axis="axisRow" fieldPosition="7"/>
    </format>
    <format dxfId="281">
      <pivotArea dataOnly="0" labelOnly="1" outline="0" fieldPosition="0">
        <references count="8">
          <reference field="0" count="1" selected="0">
            <x v="2"/>
          </reference>
          <reference field="1" count="1" selected="0">
            <x v="1"/>
          </reference>
          <reference field="2" count="1" selected="0">
            <x v="2"/>
          </reference>
          <reference field="3" count="1" selected="0">
            <x v="0"/>
          </reference>
          <reference field="4" count="1" selected="0">
            <x v="6"/>
          </reference>
          <reference field="5" count="1">
            <x v="0"/>
          </reference>
          <reference field="7" count="1" selected="0">
            <x v="12"/>
          </reference>
          <reference field="9" count="1" selected="0">
            <x v="6"/>
          </reference>
        </references>
      </pivotArea>
    </format>
    <format dxfId="271">
      <pivotArea field="23" type="button" dataOnly="0" labelOnly="1" outline="0" axis="axisRow" fieldPosition="8"/>
    </format>
    <format dxfId="270">
      <pivotArea dataOnly="0" labelOnly="1" outline="0" fieldPosition="0">
        <references count="9">
          <reference field="0" count="1" selected="0">
            <x v="2"/>
          </reference>
          <reference field="1" count="1" selected="0">
            <x v="1"/>
          </reference>
          <reference field="2" count="1" selected="0">
            <x v="2"/>
          </reference>
          <reference field="3" count="1" selected="0">
            <x v="0"/>
          </reference>
          <reference field="4" count="1" selected="0">
            <x v="6"/>
          </reference>
          <reference field="5" count="1" selected="0">
            <x v="0"/>
          </reference>
          <reference field="7" count="1" selected="0">
            <x v="12"/>
          </reference>
          <reference field="9" count="1" selected="0">
            <x v="6"/>
          </reference>
          <reference field="23" count="1">
            <x v="9"/>
          </reference>
        </references>
      </pivotArea>
    </format>
  </formats>
  <pivotTableStyleInfo name="PivotStyleMedium10-Late2" showRowHeaders="1" showColHeaders="1" showRowStripes="0" showColStripes="0" showLastColumn="1"/>
  <filters count="1">
    <filter fld="9" type="captionEqual" evalOrder="-1" id="1" stringValue1="Late-Pending">
      <autoFilter ref="A1">
        <filterColumn colId="0">
          <filters>
            <filter val="Late-Pending"/>
          </filters>
        </filterColumn>
      </autoFilter>
    </filter>
  </filters>
</pivotTableDefinition>
</file>

<file path=xl/pivotTables/pivotTable2.xml><?xml version="1.0" encoding="utf-8"?>
<pivotTableDefinition xmlns="http://schemas.openxmlformats.org/spreadsheetml/2006/main" name="PTSETACDRLsInReview" cacheId="41"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15:K19" firstHeaderRow="1" firstDataRow="1" firstDataCol="10"/>
  <pivotFields count="25">
    <pivotField axis="axisRow" compact="0" outline="0" showAll="0" defaultSubtotal="0">
      <items count="6">
        <item x="0"/>
        <item x="1"/>
        <item x="2"/>
        <item x="3"/>
        <item x="4"/>
        <item x="5"/>
      </items>
    </pivotField>
    <pivotField axis="axisRow" compact="0" outline="0" showAll="0" defaultSubtotal="0">
      <items count="2">
        <item x="0"/>
        <item x="1"/>
      </items>
    </pivotField>
    <pivotField axis="axisRow" compact="0" outline="0" showAll="0" defaultSubtotal="0">
      <items count="8">
        <item x="0"/>
        <item x="3"/>
        <item x="4"/>
        <item x="6"/>
        <item x="2"/>
        <item x="1"/>
        <item x="5"/>
        <item x="7"/>
      </items>
    </pivotField>
    <pivotField axis="axisRow" compact="0" outline="0" showAll="0" defaultSubtotal="0">
      <items count="4">
        <item x="0"/>
        <item x="2"/>
        <item x="1"/>
        <item x="3"/>
      </items>
    </pivotField>
    <pivotField axis="axisRow" compact="0" outline="0" showAll="0" defaultSubtotal="0">
      <items count="10">
        <item x="3"/>
        <item x="6"/>
        <item x="5"/>
        <item x="4"/>
        <item x="2"/>
        <item x="1"/>
        <item x="0"/>
        <item x="7"/>
        <item x="8"/>
        <item x="9"/>
      </items>
    </pivotField>
    <pivotField axis="axisRow" compact="0" outline="0" showAll="0" defaultSubtotal="0">
      <items count="6">
        <item x="1"/>
        <item x="2"/>
        <item x="4"/>
        <item x="0"/>
        <item x="3"/>
        <item x="5"/>
      </items>
    </pivotField>
    <pivotField axis="axisRow" compact="0" outline="0" showAll="0" defaultSubtotal="0">
      <items count="5">
        <item h="1" x="2"/>
        <item h="1" x="1"/>
        <item x="0"/>
        <item h="1" x="4"/>
        <item x="3"/>
      </items>
    </pivotField>
    <pivotField compact="0" outline="0" showAll="0"/>
    <pivotField compact="0" outline="0" showAll="0"/>
    <pivotField compact="0" outline="0" showAll="0"/>
    <pivotField axis="axisRow" compact="0" outline="0" showAll="0" defaultSubtotal="0">
      <items count="12">
        <item x="3"/>
        <item x="4"/>
        <item x="6"/>
        <item x="7"/>
        <item x="8"/>
        <item x="9"/>
        <item x="10"/>
        <item x="11"/>
        <item x="2"/>
        <item x="0"/>
        <item x="1"/>
        <item x="5"/>
      </items>
    </pivotField>
    <pivotField compact="0" outline="0" showAll="0"/>
    <pivotField compact="0" outline="0" showAll="0"/>
    <pivotField compact="0" outline="0" showAll="0"/>
    <pivotField compact="0" outline="0" showAll="0"/>
    <pivotField axis="axisRow" compact="0" outline="0" showAll="0" sortType="ascending" defaultSubtotal="0">
      <items count="9">
        <item x="3"/>
        <item x="4"/>
        <item x="5"/>
        <item x="6"/>
        <item x="7"/>
        <item x="8"/>
        <item x="1"/>
        <item x="2"/>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10">
    <field x="15"/>
    <field x="10"/>
    <field x="0"/>
    <field x="1"/>
    <field x="2"/>
    <field x="3"/>
    <field x="4"/>
    <field x="5"/>
    <field x="6"/>
    <field x="23"/>
  </rowFields>
  <rowItems count="4">
    <i>
      <x v="8"/>
      <x v="5"/>
      <x v="2"/>
      <x v="1"/>
      <x/>
      <x/>
      <x v="2"/>
      <x v="2"/>
      <x v="2"/>
      <x v="9"/>
    </i>
    <i r="1">
      <x v="9"/>
      <x/>
      <x/>
      <x/>
      <x/>
      <x v="6"/>
      <x v="3"/>
      <x v="2"/>
      <x v="9"/>
    </i>
    <i r="1">
      <x v="10"/>
      <x/>
      <x v="1"/>
      <x v="5"/>
      <x/>
      <x v="5"/>
      <x v="3"/>
      <x v="2"/>
      <x v="9"/>
    </i>
    <i r="1">
      <x v="11"/>
      <x v="2"/>
      <x v="1"/>
      <x v="1"/>
      <x/>
      <x v="6"/>
      <x v="5"/>
      <x v="4"/>
      <x v="9"/>
    </i>
  </rowItems>
  <colItems count="1">
    <i/>
  </colItems>
  <formats count="58">
    <format dxfId="402">
      <pivotArea field="15" type="button" dataOnly="0" labelOnly="1" outline="0" axis="axisRow" fieldPosition="0"/>
    </format>
    <format dxfId="401">
      <pivotArea field="10" type="button" dataOnly="0" labelOnly="1" outline="0" axis="axisRow" fieldPosition="1"/>
    </format>
    <format dxfId="400">
      <pivotArea field="0" type="button" dataOnly="0" labelOnly="1" outline="0" axis="axisRow" fieldPosition="2"/>
    </format>
    <format dxfId="399">
      <pivotArea field="1" type="button" dataOnly="0" labelOnly="1" outline="0" axis="axisRow" fieldPosition="3"/>
    </format>
    <format dxfId="398">
      <pivotArea field="2" type="button" dataOnly="0" labelOnly="1" outline="0" axis="axisRow" fieldPosition="4"/>
    </format>
    <format dxfId="397">
      <pivotArea field="3" type="button" dataOnly="0" labelOnly="1" outline="0" axis="axisRow" fieldPosition="5"/>
    </format>
    <format dxfId="396">
      <pivotArea field="4" type="button" dataOnly="0" labelOnly="1" outline="0" axis="axisRow" fieldPosition="6"/>
    </format>
    <format dxfId="395">
      <pivotArea field="5" type="button" dataOnly="0" labelOnly="1" outline="0" axis="axisRow" fieldPosition="7"/>
    </format>
    <format dxfId="394">
      <pivotArea field="6" type="button" dataOnly="0" labelOnly="1" outline="0" axis="axisRow" fieldPosition="8"/>
    </format>
    <format dxfId="393">
      <pivotArea field="23" type="button" dataOnly="0" labelOnly="1" outline="0" axis="axisRow" fieldPosition="9"/>
    </format>
    <format dxfId="392">
      <pivotArea field="15" type="button" dataOnly="0" labelOnly="1" outline="0" axis="axisRow" fieldPosition="0"/>
    </format>
    <format dxfId="391">
      <pivotArea field="10" type="button" dataOnly="0" labelOnly="1" outline="0" axis="axisRow" fieldPosition="1"/>
    </format>
    <format dxfId="390">
      <pivotArea field="0" type="button" dataOnly="0" labelOnly="1" outline="0" axis="axisRow" fieldPosition="2"/>
    </format>
    <format dxfId="389">
      <pivotArea field="1" type="button" dataOnly="0" labelOnly="1" outline="0" axis="axisRow" fieldPosition="3"/>
    </format>
    <format dxfId="388">
      <pivotArea field="2" type="button" dataOnly="0" labelOnly="1" outline="0" axis="axisRow" fieldPosition="4"/>
    </format>
    <format dxfId="387">
      <pivotArea field="3" type="button" dataOnly="0" labelOnly="1" outline="0" axis="axisRow" fieldPosition="5"/>
    </format>
    <format dxfId="386">
      <pivotArea field="4" type="button" dataOnly="0" labelOnly="1" outline="0" axis="axisRow" fieldPosition="6"/>
    </format>
    <format dxfId="385">
      <pivotArea field="5" type="button" dataOnly="0" labelOnly="1" outline="0" axis="axisRow" fieldPosition="7"/>
    </format>
    <format dxfId="384">
      <pivotArea field="6" type="button" dataOnly="0" labelOnly="1" outline="0" axis="axisRow" fieldPosition="8"/>
    </format>
    <format dxfId="383">
      <pivotArea field="23" type="button" dataOnly="0" labelOnly="1" outline="0" axis="axisRow" fieldPosition="9"/>
    </format>
    <format dxfId="382">
      <pivotArea field="15" type="button" dataOnly="0" labelOnly="1" outline="0" axis="axisRow" fieldPosition="0"/>
    </format>
    <format dxfId="381">
      <pivotArea field="10" type="button" dataOnly="0" labelOnly="1" outline="0" axis="axisRow" fieldPosition="1"/>
    </format>
    <format dxfId="380">
      <pivotArea field="0" type="button" dataOnly="0" labelOnly="1" outline="0" axis="axisRow" fieldPosition="2"/>
    </format>
    <format dxfId="379">
      <pivotArea field="1" type="button" dataOnly="0" labelOnly="1" outline="0" axis="axisRow" fieldPosition="3"/>
    </format>
    <format dxfId="378">
      <pivotArea field="2" type="button" dataOnly="0" labelOnly="1" outline="0" axis="axisRow" fieldPosition="4"/>
    </format>
    <format dxfId="377">
      <pivotArea field="3" type="button" dataOnly="0" labelOnly="1" outline="0" axis="axisRow" fieldPosition="5"/>
    </format>
    <format dxfId="376">
      <pivotArea field="4" type="button" dataOnly="0" labelOnly="1" outline="0" axis="axisRow" fieldPosition="6"/>
    </format>
    <format dxfId="375">
      <pivotArea field="5" type="button" dataOnly="0" labelOnly="1" outline="0" axis="axisRow" fieldPosition="7"/>
    </format>
    <format dxfId="374">
      <pivotArea field="6" type="button" dataOnly="0" labelOnly="1" outline="0" axis="axisRow" fieldPosition="8"/>
    </format>
    <format dxfId="373">
      <pivotArea field="23" type="button" dataOnly="0" labelOnly="1" outline="0" axis="axisRow" fieldPosition="9"/>
    </format>
    <format dxfId="335">
      <pivotArea field="15" type="button" dataOnly="0" labelOnly="1" outline="0" axis="axisRow" fieldPosition="0"/>
    </format>
    <format dxfId="334">
      <pivotArea field="10" type="button" dataOnly="0" labelOnly="1" outline="0" axis="axisRow" fieldPosition="1"/>
    </format>
    <format dxfId="333">
      <pivotArea field="0" type="button" dataOnly="0" labelOnly="1" outline="0" axis="axisRow" fieldPosition="2"/>
    </format>
    <format dxfId="332">
      <pivotArea field="1" type="button" dataOnly="0" labelOnly="1" outline="0" axis="axisRow" fieldPosition="3"/>
    </format>
    <format dxfId="331">
      <pivotArea field="2" type="button" dataOnly="0" labelOnly="1" outline="0" axis="axisRow" fieldPosition="4"/>
    </format>
    <format dxfId="330">
      <pivotArea dataOnly="0" labelOnly="1" outline="0" fieldPosition="0">
        <references count="1">
          <reference field="15" count="1">
            <x v="8"/>
          </reference>
        </references>
      </pivotArea>
    </format>
    <format dxfId="329">
      <pivotArea dataOnly="0" labelOnly="1" outline="0" fieldPosition="0">
        <references count="2">
          <reference field="10" count="4">
            <x v="5"/>
            <x v="9"/>
            <x v="10"/>
            <x v="11"/>
          </reference>
          <reference field="15" count="1" selected="0">
            <x v="8"/>
          </reference>
        </references>
      </pivotArea>
    </format>
    <format dxfId="328">
      <pivotArea dataOnly="0" labelOnly="1" outline="0" fieldPosition="0">
        <references count="3">
          <reference field="0" count="1">
            <x v="2"/>
          </reference>
          <reference field="10" count="1" selected="0">
            <x v="5"/>
          </reference>
          <reference field="15" count="1" selected="0">
            <x v="8"/>
          </reference>
        </references>
      </pivotArea>
    </format>
    <format dxfId="327">
      <pivotArea dataOnly="0" labelOnly="1" outline="0" fieldPosition="0">
        <references count="3">
          <reference field="0" count="1">
            <x v="0"/>
          </reference>
          <reference field="10" count="1" selected="0">
            <x v="9"/>
          </reference>
          <reference field="15" count="1" selected="0">
            <x v="8"/>
          </reference>
        </references>
      </pivotArea>
    </format>
    <format dxfId="326">
      <pivotArea dataOnly="0" labelOnly="1" outline="0" fieldPosition="0">
        <references count="3">
          <reference field="0" count="1">
            <x v="2"/>
          </reference>
          <reference field="10" count="1" selected="0">
            <x v="11"/>
          </reference>
          <reference field="15" count="1" selected="0">
            <x v="8"/>
          </reference>
        </references>
      </pivotArea>
    </format>
    <format dxfId="325">
      <pivotArea dataOnly="0" labelOnly="1" outline="0" fieldPosition="0">
        <references count="4">
          <reference field="0" count="1" selected="0">
            <x v="2"/>
          </reference>
          <reference field="1" count="1">
            <x v="1"/>
          </reference>
          <reference field="10" count="1" selected="0">
            <x v="5"/>
          </reference>
          <reference field="15" count="1" selected="0">
            <x v="8"/>
          </reference>
        </references>
      </pivotArea>
    </format>
    <format dxfId="324">
      <pivotArea dataOnly="0" labelOnly="1" outline="0" fieldPosition="0">
        <references count="4">
          <reference field="0" count="1" selected="0">
            <x v="0"/>
          </reference>
          <reference field="1" count="1">
            <x v="0"/>
          </reference>
          <reference field="10" count="1" selected="0">
            <x v="9"/>
          </reference>
          <reference field="15" count="1" selected="0">
            <x v="8"/>
          </reference>
        </references>
      </pivotArea>
    </format>
    <format dxfId="323">
      <pivotArea dataOnly="0" labelOnly="1" outline="0" fieldPosition="0">
        <references count="4">
          <reference field="0" count="1" selected="0">
            <x v="0"/>
          </reference>
          <reference field="1" count="1">
            <x v="1"/>
          </reference>
          <reference field="10" count="1" selected="0">
            <x v="10"/>
          </reference>
          <reference field="15" count="1" selected="0">
            <x v="8"/>
          </reference>
        </references>
      </pivotArea>
    </format>
    <format dxfId="322">
      <pivotArea dataOnly="0" labelOnly="1" outline="0" fieldPosition="0">
        <references count="5">
          <reference field="0" count="1" selected="0">
            <x v="2"/>
          </reference>
          <reference field="1" count="1" selected="0">
            <x v="1"/>
          </reference>
          <reference field="2" count="1">
            <x v="0"/>
          </reference>
          <reference field="10" count="1" selected="0">
            <x v="5"/>
          </reference>
          <reference field="15" count="1" selected="0">
            <x v="8"/>
          </reference>
        </references>
      </pivotArea>
    </format>
    <format dxfId="321">
      <pivotArea dataOnly="0" labelOnly="1" outline="0" fieldPosition="0">
        <references count="5">
          <reference field="0" count="1" selected="0">
            <x v="0"/>
          </reference>
          <reference field="1" count="1" selected="0">
            <x v="1"/>
          </reference>
          <reference field="2" count="1">
            <x v="5"/>
          </reference>
          <reference field="10" count="1" selected="0">
            <x v="10"/>
          </reference>
          <reference field="15" count="1" selected="0">
            <x v="8"/>
          </reference>
        </references>
      </pivotArea>
    </format>
    <format dxfId="320">
      <pivotArea dataOnly="0" labelOnly="1" outline="0" fieldPosition="0">
        <references count="5">
          <reference field="0" count="1" selected="0">
            <x v="2"/>
          </reference>
          <reference field="1" count="1" selected="0">
            <x v="1"/>
          </reference>
          <reference field="2" count="1">
            <x v="1"/>
          </reference>
          <reference field="10" count="1" selected="0">
            <x v="11"/>
          </reference>
          <reference field="15" count="1" selected="0">
            <x v="8"/>
          </reference>
        </references>
      </pivotArea>
    </format>
    <format dxfId="292">
      <pivotArea field="4" type="button" dataOnly="0" labelOnly="1" outline="0" axis="axisRow" fieldPosition="6"/>
    </format>
    <format dxfId="291">
      <pivotArea dataOnly="0" labelOnly="1" outline="0" fieldPosition="0">
        <references count="7">
          <reference field="0" count="1" selected="0">
            <x v="2"/>
          </reference>
          <reference field="1" count="1" selected="0">
            <x v="1"/>
          </reference>
          <reference field="2" count="1" selected="0">
            <x v="0"/>
          </reference>
          <reference field="3" count="1" selected="0">
            <x v="0"/>
          </reference>
          <reference field="4" count="1">
            <x v="2"/>
          </reference>
          <reference field="10" count="1" selected="0">
            <x v="5"/>
          </reference>
          <reference field="15" count="1" selected="0">
            <x v="8"/>
          </reference>
        </references>
      </pivotArea>
    </format>
    <format dxfId="290">
      <pivotArea dataOnly="0" labelOnly="1" outline="0" fieldPosition="0">
        <references count="7">
          <reference field="0" count="1" selected="0">
            <x v="0"/>
          </reference>
          <reference field="1" count="1" selected="0">
            <x v="0"/>
          </reference>
          <reference field="2" count="1" selected="0">
            <x v="0"/>
          </reference>
          <reference field="3" count="1" selected="0">
            <x v="0"/>
          </reference>
          <reference field="4" count="1">
            <x v="6"/>
          </reference>
          <reference field="10" count="1" selected="0">
            <x v="9"/>
          </reference>
          <reference field="15" count="1" selected="0">
            <x v="8"/>
          </reference>
        </references>
      </pivotArea>
    </format>
    <format dxfId="289">
      <pivotArea dataOnly="0" labelOnly="1" outline="0" fieldPosition="0">
        <references count="7">
          <reference field="0" count="1" selected="0">
            <x v="0"/>
          </reference>
          <reference field="1" count="1" selected="0">
            <x v="1"/>
          </reference>
          <reference field="2" count="1" selected="0">
            <x v="5"/>
          </reference>
          <reference field="3" count="1" selected="0">
            <x v="0"/>
          </reference>
          <reference field="4" count="1">
            <x v="5"/>
          </reference>
          <reference field="10" count="1" selected="0">
            <x v="10"/>
          </reference>
          <reference field="15" count="1" selected="0">
            <x v="8"/>
          </reference>
        </references>
      </pivotArea>
    </format>
    <format dxfId="288">
      <pivotArea dataOnly="0" labelOnly="1" outline="0" fieldPosition="0">
        <references count="7">
          <reference field="0" count="1" selected="0">
            <x v="2"/>
          </reference>
          <reference field="1" count="1" selected="0">
            <x v="1"/>
          </reference>
          <reference field="2" count="1" selected="0">
            <x v="1"/>
          </reference>
          <reference field="3" count="1" selected="0">
            <x v="0"/>
          </reference>
          <reference field="4" count="1">
            <x v="6"/>
          </reference>
          <reference field="10" count="1" selected="0">
            <x v="11"/>
          </reference>
          <reference field="15" count="1" selected="0">
            <x v="8"/>
          </reference>
        </references>
      </pivotArea>
    </format>
    <format dxfId="280">
      <pivotArea field="5" type="button" dataOnly="0" labelOnly="1" outline="0" axis="axisRow" fieldPosition="7"/>
    </format>
    <format dxfId="279">
      <pivotArea dataOnly="0" labelOnly="1" outline="0" fieldPosition="0">
        <references count="8">
          <reference field="0" count="1" selected="0">
            <x v="2"/>
          </reference>
          <reference field="1" count="1" selected="0">
            <x v="1"/>
          </reference>
          <reference field="2" count="1" selected="0">
            <x v="0"/>
          </reference>
          <reference field="3" count="1" selected="0">
            <x v="0"/>
          </reference>
          <reference field="4" count="1" selected="0">
            <x v="2"/>
          </reference>
          <reference field="5" count="1">
            <x v="2"/>
          </reference>
          <reference field="10" count="1" selected="0">
            <x v="5"/>
          </reference>
          <reference field="15" count="1" selected="0">
            <x v="8"/>
          </reference>
        </references>
      </pivotArea>
    </format>
    <format dxfId="278">
      <pivotArea dataOnly="0" labelOnly="1" outline="0" fieldPosition="0">
        <references count="8">
          <reference field="0" count="1" selected="0">
            <x v="0"/>
          </reference>
          <reference field="1" count="1" selected="0">
            <x v="0"/>
          </reference>
          <reference field="2" count="1" selected="0">
            <x v="0"/>
          </reference>
          <reference field="3" count="1" selected="0">
            <x v="0"/>
          </reference>
          <reference field="4" count="1" selected="0">
            <x v="6"/>
          </reference>
          <reference field="5" count="1">
            <x v="3"/>
          </reference>
          <reference field="10" count="1" selected="0">
            <x v="9"/>
          </reference>
          <reference field="15" count="1" selected="0">
            <x v="8"/>
          </reference>
        </references>
      </pivotArea>
    </format>
    <format dxfId="277">
      <pivotArea dataOnly="0" labelOnly="1" outline="0" fieldPosition="0">
        <references count="8">
          <reference field="0" count="1" selected="0">
            <x v="2"/>
          </reference>
          <reference field="1" count="1" selected="0">
            <x v="1"/>
          </reference>
          <reference field="2" count="1" selected="0">
            <x v="1"/>
          </reference>
          <reference field="3" count="1" selected="0">
            <x v="0"/>
          </reference>
          <reference field="4" count="1" selected="0">
            <x v="6"/>
          </reference>
          <reference field="5" count="1">
            <x v="5"/>
          </reference>
          <reference field="10" count="1" selected="0">
            <x v="11"/>
          </reference>
          <reference field="15" count="1" selected="0">
            <x v="8"/>
          </reference>
        </references>
      </pivotArea>
    </format>
    <format dxfId="269">
      <pivotArea field="6" type="button" dataOnly="0" labelOnly="1" outline="0" axis="axisRow" fieldPosition="8"/>
    </format>
    <format dxfId="268">
      <pivotArea dataOnly="0" labelOnly="1" outline="0" fieldPosition="0">
        <references count="9">
          <reference field="0" count="1" selected="0">
            <x v="2"/>
          </reference>
          <reference field="1" count="1" selected="0">
            <x v="1"/>
          </reference>
          <reference field="2" count="1" selected="0">
            <x v="0"/>
          </reference>
          <reference field="3" count="1" selected="0">
            <x v="0"/>
          </reference>
          <reference field="4" count="1" selected="0">
            <x v="2"/>
          </reference>
          <reference field="5" count="1" selected="0">
            <x v="2"/>
          </reference>
          <reference field="6" count="1">
            <x v="2"/>
          </reference>
          <reference field="10" count="1" selected="0">
            <x v="5"/>
          </reference>
          <reference field="15" count="1" selected="0">
            <x v="8"/>
          </reference>
        </references>
      </pivotArea>
    </format>
    <format dxfId="267">
      <pivotArea dataOnly="0" labelOnly="1" outline="0" fieldPosition="0">
        <references count="9">
          <reference field="0" count="1" selected="0">
            <x v="2"/>
          </reference>
          <reference field="1" count="1" selected="0">
            <x v="1"/>
          </reference>
          <reference field="2" count="1" selected="0">
            <x v="1"/>
          </reference>
          <reference field="3" count="1" selected="0">
            <x v="0"/>
          </reference>
          <reference field="4" count="1" selected="0">
            <x v="6"/>
          </reference>
          <reference field="5" count="1" selected="0">
            <x v="5"/>
          </reference>
          <reference field="6" count="1">
            <x v="4"/>
          </reference>
          <reference field="10" count="1" selected="0">
            <x v="11"/>
          </reference>
          <reference field="15" count="1" selected="0">
            <x v="8"/>
          </reference>
        </references>
      </pivotArea>
    </format>
  </formats>
  <pivotTableStyleInfo name="PivotStyleDark7-SETA" showRowHeaders="1" showColHeaders="1" showRowStripes="0" showColStripes="0" showLastColumn="1"/>
</pivotTableDefinition>
</file>

<file path=xl/pivotTables/pivotTable3.xml><?xml version="1.0" encoding="utf-8"?>
<pivotTableDefinition xmlns="http://schemas.openxmlformats.org/spreadsheetml/2006/main" name="PTCDRLsInReview" cacheId="76"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8:K12" firstHeaderRow="1" firstDataRow="1" firstDataCol="10"/>
  <pivotFields count="26">
    <pivotField axis="axisRow" compact="0" outline="0" showAll="0" defaultSubtotal="0">
      <items count="6">
        <item x="0"/>
        <item x="1"/>
        <item x="2"/>
        <item x="3"/>
        <item x="4"/>
        <item x="5"/>
      </items>
    </pivotField>
    <pivotField axis="axisRow" compact="0" outline="0" showAll="0" defaultSubtotal="0">
      <items count="2">
        <item x="0"/>
        <item x="1"/>
      </items>
    </pivotField>
    <pivotField axis="axisRow" compact="0" outline="0" showAll="0" defaultSubtotal="0">
      <items count="8">
        <item x="0"/>
        <item x="3"/>
        <item x="4"/>
        <item x="6"/>
        <item x="2"/>
        <item x="1"/>
        <item x="5"/>
        <item x="7"/>
      </items>
    </pivotField>
    <pivotField axis="axisRow" compact="0" outline="0" showAll="0" defaultSubtotal="0">
      <items count="4">
        <item x="0"/>
        <item x="2"/>
        <item x="1"/>
        <item x="3"/>
      </items>
    </pivotField>
    <pivotField axis="axisRow" compact="0" outline="0" showAll="0" defaultSubtotal="0">
      <items count="10">
        <item x="3"/>
        <item x="6"/>
        <item x="5"/>
        <item x="4"/>
        <item x="2"/>
        <item x="1"/>
        <item x="0"/>
        <item x="7"/>
        <item x="8"/>
        <item x="9"/>
      </items>
    </pivotField>
    <pivotField axis="axisRow" compact="0" outline="0" showAll="0" defaultSubtotal="0">
      <items count="6">
        <item x="1"/>
        <item x="2"/>
        <item x="4"/>
        <item x="0"/>
        <item x="3"/>
        <item x="5"/>
      </items>
    </pivotField>
    <pivotField axis="axisRow" compact="0" outline="0" showAll="0" defaultSubtotal="0">
      <items count="5">
        <item h="1" x="2"/>
        <item x="1"/>
        <item h="1" x="0"/>
        <item h="1" x="4"/>
        <item x="3"/>
      </items>
    </pivotField>
    <pivotField compact="0" outline="0" showAll="0"/>
    <pivotField compact="0" outline="0" showAll="0"/>
    <pivotField compact="0" outline="0" showAll="0"/>
    <pivotField axis="axisRow" compact="0" outline="0" showAll="0" defaultSubtotal="0">
      <items count="12">
        <item x="3"/>
        <item x="4"/>
        <item x="6"/>
        <item x="7"/>
        <item x="8"/>
        <item x="9"/>
        <item x="10"/>
        <item x="11"/>
        <item x="2"/>
        <item x="0"/>
        <item x="1"/>
        <item x="5"/>
      </items>
    </pivotField>
    <pivotField compact="0" outline="0" showAll="0"/>
    <pivotField compact="0" outline="0" showAll="0"/>
    <pivotField compact="0" outline="0" showAll="0"/>
    <pivotField compact="0" outline="0" showAll="0"/>
    <pivotField axis="axisRow" compact="0" outline="0" showAll="0" sortType="ascending" defaultSubtotal="0">
      <items count="9">
        <item x="3"/>
        <item x="4"/>
        <item x="5"/>
        <item x="6"/>
        <item x="7"/>
        <item x="8"/>
        <item x="1"/>
        <item x="2"/>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 compact="0" outline="0" dragToRow="0" dragToCol="0" dragToPage="0" showAll="0" defaultSubtotal="0"/>
  </pivotFields>
  <rowFields count="10">
    <field x="15"/>
    <field x="10"/>
    <field x="0"/>
    <field x="1"/>
    <field x="2"/>
    <field x="3"/>
    <field x="4"/>
    <field x="5"/>
    <field x="6"/>
    <field x="23"/>
  </rowFields>
  <rowItems count="4">
    <i>
      <x v="3"/>
      <x v="5"/>
      <x v="2"/>
      <x v="1"/>
      <x/>
      <x/>
      <x v="2"/>
      <x v="2"/>
      <x v="1"/>
      <x v="6"/>
    </i>
    <i>
      <x v="6"/>
      <x v="8"/>
      <x v="1"/>
      <x/>
      <x v="4"/>
      <x/>
      <x v="5"/>
      <x/>
      <x v="1"/>
      <x v="9"/>
    </i>
    <i>
      <x v="7"/>
      <x v="10"/>
      <x v="1"/>
      <x v="1"/>
      <x/>
      <x/>
      <x v="6"/>
      <x/>
      <x v="1"/>
      <x v="9"/>
    </i>
    <i>
      <x v="8"/>
      <x v="11"/>
      <x v="2"/>
      <x v="1"/>
      <x v="1"/>
      <x/>
      <x v="6"/>
      <x v="5"/>
      <x v="4"/>
      <x v="9"/>
    </i>
  </rowItems>
  <colItems count="1">
    <i/>
  </colItems>
  <formats count="61">
    <format dxfId="432">
      <pivotArea field="15" type="button" dataOnly="0" labelOnly="1" outline="0" axis="axisRow" fieldPosition="0"/>
    </format>
    <format dxfId="431">
      <pivotArea field="10" type="button" dataOnly="0" labelOnly="1" outline="0" axis="axisRow" fieldPosition="1"/>
    </format>
    <format dxfId="430">
      <pivotArea field="0" type="button" dataOnly="0" labelOnly="1" outline="0" axis="axisRow" fieldPosition="2"/>
    </format>
    <format dxfId="429">
      <pivotArea field="1" type="button" dataOnly="0" labelOnly="1" outline="0" axis="axisRow" fieldPosition="3"/>
    </format>
    <format dxfId="428">
      <pivotArea field="2" type="button" dataOnly="0" labelOnly="1" outline="0" axis="axisRow" fieldPosition="4"/>
    </format>
    <format dxfId="427">
      <pivotArea field="3" type="button" dataOnly="0" labelOnly="1" outline="0" axis="axisRow" fieldPosition="5"/>
    </format>
    <format dxfId="426">
      <pivotArea field="4" type="button" dataOnly="0" labelOnly="1" outline="0" axis="axisRow" fieldPosition="6"/>
    </format>
    <format dxfId="425">
      <pivotArea field="5" type="button" dataOnly="0" labelOnly="1" outline="0" axis="axisRow" fieldPosition="7"/>
    </format>
    <format dxfId="424">
      <pivotArea field="6" type="button" dataOnly="0" labelOnly="1" outline="0" axis="axisRow" fieldPosition="8"/>
    </format>
    <format dxfId="423">
      <pivotArea field="23" type="button" dataOnly="0" labelOnly="1" outline="0" axis="axisRow" fieldPosition="9"/>
    </format>
    <format dxfId="422">
      <pivotArea field="15" type="button" dataOnly="0" labelOnly="1" outline="0" axis="axisRow" fieldPosition="0"/>
    </format>
    <format dxfId="421">
      <pivotArea field="10" type="button" dataOnly="0" labelOnly="1" outline="0" axis="axisRow" fieldPosition="1"/>
    </format>
    <format dxfId="420">
      <pivotArea field="0" type="button" dataOnly="0" labelOnly="1" outline="0" axis="axisRow" fieldPosition="2"/>
    </format>
    <format dxfId="419">
      <pivotArea field="1" type="button" dataOnly="0" labelOnly="1" outline="0" axis="axisRow" fieldPosition="3"/>
    </format>
    <format dxfId="418">
      <pivotArea field="2" type="button" dataOnly="0" labelOnly="1" outline="0" axis="axisRow" fieldPosition="4"/>
    </format>
    <format dxfId="417">
      <pivotArea field="3" type="button" dataOnly="0" labelOnly="1" outline="0" axis="axisRow" fieldPosition="5"/>
    </format>
    <format dxfId="416">
      <pivotArea field="4" type="button" dataOnly="0" labelOnly="1" outline="0" axis="axisRow" fieldPosition="6"/>
    </format>
    <format dxfId="415">
      <pivotArea field="5" type="button" dataOnly="0" labelOnly="1" outline="0" axis="axisRow" fieldPosition="7"/>
    </format>
    <format dxfId="414">
      <pivotArea field="6" type="button" dataOnly="0" labelOnly="1" outline="0" axis="axisRow" fieldPosition="8"/>
    </format>
    <format dxfId="413">
      <pivotArea field="23" type="button" dataOnly="0" labelOnly="1" outline="0" axis="axisRow" fieldPosition="9"/>
    </format>
    <format dxfId="412">
      <pivotArea field="15" type="button" dataOnly="0" labelOnly="1" outline="0" axis="axisRow" fieldPosition="0"/>
    </format>
    <format dxfId="411">
      <pivotArea field="10" type="button" dataOnly="0" labelOnly="1" outline="0" axis="axisRow" fieldPosition="1"/>
    </format>
    <format dxfId="410">
      <pivotArea field="0" type="button" dataOnly="0" labelOnly="1" outline="0" axis="axisRow" fieldPosition="2"/>
    </format>
    <format dxfId="409">
      <pivotArea field="1" type="button" dataOnly="0" labelOnly="1" outline="0" axis="axisRow" fieldPosition="3"/>
    </format>
    <format dxfId="408">
      <pivotArea field="2" type="button" dataOnly="0" labelOnly="1" outline="0" axis="axisRow" fieldPosition="4"/>
    </format>
    <format dxfId="407">
      <pivotArea field="3" type="button" dataOnly="0" labelOnly="1" outline="0" axis="axisRow" fieldPosition="5"/>
    </format>
    <format dxfId="406">
      <pivotArea field="4" type="button" dataOnly="0" labelOnly="1" outline="0" axis="axisRow" fieldPosition="6"/>
    </format>
    <format dxfId="405">
      <pivotArea field="5" type="button" dataOnly="0" labelOnly="1" outline="0" axis="axisRow" fieldPosition="7"/>
    </format>
    <format dxfId="404">
      <pivotArea field="6" type="button" dataOnly="0" labelOnly="1" outline="0" axis="axisRow" fieldPosition="8"/>
    </format>
    <format dxfId="403">
      <pivotArea field="23" type="button" dataOnly="0" labelOnly="1" outline="0" axis="axisRow" fieldPosition="9"/>
    </format>
    <format dxfId="319">
      <pivotArea field="15" type="button" dataOnly="0" labelOnly="1" outline="0" axis="axisRow" fieldPosition="0"/>
    </format>
    <format dxfId="318">
      <pivotArea field="10" type="button" dataOnly="0" labelOnly="1" outline="0" axis="axisRow" fieldPosition="1"/>
    </format>
    <format dxfId="317">
      <pivotArea field="0" type="button" dataOnly="0" labelOnly="1" outline="0" axis="axisRow" fieldPosition="2"/>
    </format>
    <format dxfId="316">
      <pivotArea field="1" type="button" dataOnly="0" labelOnly="1" outline="0" axis="axisRow" fieldPosition="3"/>
    </format>
    <format dxfId="315">
      <pivotArea field="2" type="button" dataOnly="0" labelOnly="1" outline="0" axis="axisRow" fieldPosition="4"/>
    </format>
    <format dxfId="314">
      <pivotArea dataOnly="0" labelOnly="1" outline="0" fieldPosition="0">
        <references count="1">
          <reference field="15" count="4">
            <x v="3"/>
            <x v="6"/>
            <x v="7"/>
            <x v="8"/>
          </reference>
        </references>
      </pivotArea>
    </format>
    <format dxfId="313">
      <pivotArea dataOnly="0" labelOnly="1" outline="0" fieldPosition="0">
        <references count="2">
          <reference field="10" count="1">
            <x v="5"/>
          </reference>
          <reference field="15" count="1" selected="0">
            <x v="3"/>
          </reference>
        </references>
      </pivotArea>
    </format>
    <format dxfId="312">
      <pivotArea dataOnly="0" labelOnly="1" outline="0" fieldPosition="0">
        <references count="2">
          <reference field="10" count="1">
            <x v="8"/>
          </reference>
          <reference field="15" count="1" selected="0">
            <x v="6"/>
          </reference>
        </references>
      </pivotArea>
    </format>
    <format dxfId="311">
      <pivotArea dataOnly="0" labelOnly="1" outline="0" fieldPosition="0">
        <references count="2">
          <reference field="10" count="1">
            <x v="10"/>
          </reference>
          <reference field="15" count="1" selected="0">
            <x v="7"/>
          </reference>
        </references>
      </pivotArea>
    </format>
    <format dxfId="310">
      <pivotArea dataOnly="0" labelOnly="1" outline="0" fieldPosition="0">
        <references count="2">
          <reference field="10" count="1">
            <x v="11"/>
          </reference>
          <reference field="15" count="1" selected="0">
            <x v="8"/>
          </reference>
        </references>
      </pivotArea>
    </format>
    <format dxfId="309">
      <pivotArea dataOnly="0" labelOnly="1" outline="0" fieldPosition="0">
        <references count="3">
          <reference field="0" count="1">
            <x v="2"/>
          </reference>
          <reference field="10" count="1" selected="0">
            <x v="5"/>
          </reference>
          <reference field="15" count="1" selected="0">
            <x v="3"/>
          </reference>
        </references>
      </pivotArea>
    </format>
    <format dxfId="308">
      <pivotArea dataOnly="0" labelOnly="1" outline="0" fieldPosition="0">
        <references count="3">
          <reference field="0" count="1">
            <x v="1"/>
          </reference>
          <reference field="10" count="1" selected="0">
            <x v="8"/>
          </reference>
          <reference field="15" count="1" selected="0">
            <x v="6"/>
          </reference>
        </references>
      </pivotArea>
    </format>
    <format dxfId="307">
      <pivotArea dataOnly="0" labelOnly="1" outline="0" fieldPosition="0">
        <references count="3">
          <reference field="0" count="1">
            <x v="2"/>
          </reference>
          <reference field="10" count="1" selected="0">
            <x v="11"/>
          </reference>
          <reference field="15" count="1" selected="0">
            <x v="8"/>
          </reference>
        </references>
      </pivotArea>
    </format>
    <format dxfId="306">
      <pivotArea dataOnly="0" labelOnly="1" outline="0" fieldPosition="0">
        <references count="4">
          <reference field="0" count="1" selected="0">
            <x v="2"/>
          </reference>
          <reference field="1" count="1">
            <x v="1"/>
          </reference>
          <reference field="10" count="1" selected="0">
            <x v="5"/>
          </reference>
          <reference field="15" count="1" selected="0">
            <x v="3"/>
          </reference>
        </references>
      </pivotArea>
    </format>
    <format dxfId="305">
      <pivotArea dataOnly="0" labelOnly="1" outline="0" fieldPosition="0">
        <references count="4">
          <reference field="0" count="1" selected="0">
            <x v="1"/>
          </reference>
          <reference field="1" count="1">
            <x v="0"/>
          </reference>
          <reference field="10" count="1" selected="0">
            <x v="8"/>
          </reference>
          <reference field="15" count="1" selected="0">
            <x v="6"/>
          </reference>
        </references>
      </pivotArea>
    </format>
    <format dxfId="304">
      <pivotArea dataOnly="0" labelOnly="1" outline="0" fieldPosition="0">
        <references count="4">
          <reference field="0" count="1" selected="0">
            <x v="1"/>
          </reference>
          <reference field="1" count="1">
            <x v="1"/>
          </reference>
          <reference field="10" count="1" selected="0">
            <x v="10"/>
          </reference>
          <reference field="15" count="1" selected="0">
            <x v="7"/>
          </reference>
        </references>
      </pivotArea>
    </format>
    <format dxfId="303">
      <pivotArea dataOnly="0" labelOnly="1" outline="0" fieldPosition="0">
        <references count="5">
          <reference field="0" count="1" selected="0">
            <x v="2"/>
          </reference>
          <reference field="1" count="1" selected="0">
            <x v="1"/>
          </reference>
          <reference field="2" count="1">
            <x v="0"/>
          </reference>
          <reference field="10" count="1" selected="0">
            <x v="5"/>
          </reference>
          <reference field="15" count="1" selected="0">
            <x v="3"/>
          </reference>
        </references>
      </pivotArea>
    </format>
    <format dxfId="302">
      <pivotArea dataOnly="0" labelOnly="1" outline="0" fieldPosition="0">
        <references count="5">
          <reference field="0" count="1" selected="0">
            <x v="1"/>
          </reference>
          <reference field="1" count="1" selected="0">
            <x v="0"/>
          </reference>
          <reference field="2" count="1">
            <x v="4"/>
          </reference>
          <reference field="10" count="1" selected="0">
            <x v="8"/>
          </reference>
          <reference field="15" count="1" selected="0">
            <x v="6"/>
          </reference>
        </references>
      </pivotArea>
    </format>
    <format dxfId="301">
      <pivotArea dataOnly="0" labelOnly="1" outline="0" fieldPosition="0">
        <references count="5">
          <reference field="0" count="1" selected="0">
            <x v="1"/>
          </reference>
          <reference field="1" count="1" selected="0">
            <x v="1"/>
          </reference>
          <reference field="2" count="1">
            <x v="0"/>
          </reference>
          <reference field="10" count="1" selected="0">
            <x v="10"/>
          </reference>
          <reference field="15" count="1" selected="0">
            <x v="7"/>
          </reference>
        </references>
      </pivotArea>
    </format>
    <format dxfId="300">
      <pivotArea dataOnly="0" labelOnly="1" outline="0" fieldPosition="0">
        <references count="5">
          <reference field="0" count="1" selected="0">
            <x v="2"/>
          </reference>
          <reference field="1" count="1" selected="0">
            <x v="1"/>
          </reference>
          <reference field="2" count="1">
            <x v="1"/>
          </reference>
          <reference field="10" count="1" selected="0">
            <x v="11"/>
          </reference>
          <reference field="15" count="1" selected="0">
            <x v="8"/>
          </reference>
        </references>
      </pivotArea>
    </format>
    <format dxfId="287">
      <pivotArea field="4" type="button" dataOnly="0" labelOnly="1" outline="0" axis="axisRow" fieldPosition="6"/>
    </format>
    <format dxfId="286">
      <pivotArea dataOnly="0" labelOnly="1" outline="0" fieldPosition="0">
        <references count="7">
          <reference field="0" count="1" selected="0">
            <x v="2"/>
          </reference>
          <reference field="1" count="1" selected="0">
            <x v="1"/>
          </reference>
          <reference field="2" count="1" selected="0">
            <x v="0"/>
          </reference>
          <reference field="3" count="1" selected="0">
            <x v="0"/>
          </reference>
          <reference field="4" count="1">
            <x v="2"/>
          </reference>
          <reference field="10" count="1" selected="0">
            <x v="5"/>
          </reference>
          <reference field="15" count="1" selected="0">
            <x v="3"/>
          </reference>
        </references>
      </pivotArea>
    </format>
    <format dxfId="285">
      <pivotArea dataOnly="0" labelOnly="1" outline="0" fieldPosition="0">
        <references count="7">
          <reference field="0" count="1" selected="0">
            <x v="1"/>
          </reference>
          <reference field="1" count="1" selected="0">
            <x v="0"/>
          </reference>
          <reference field="2" count="1" selected="0">
            <x v="4"/>
          </reference>
          <reference field="3" count="1" selected="0">
            <x v="0"/>
          </reference>
          <reference field="4" count="1">
            <x v="5"/>
          </reference>
          <reference field="10" count="1" selected="0">
            <x v="8"/>
          </reference>
          <reference field="15" count="1" selected="0">
            <x v="6"/>
          </reference>
        </references>
      </pivotArea>
    </format>
    <format dxfId="284">
      <pivotArea dataOnly="0" labelOnly="1" outline="0" fieldPosition="0">
        <references count="7">
          <reference field="0" count="1" selected="0">
            <x v="1"/>
          </reference>
          <reference field="1" count="1" selected="0">
            <x v="1"/>
          </reference>
          <reference field="2" count="1" selected="0">
            <x v="0"/>
          </reference>
          <reference field="3" count="1" selected="0">
            <x v="0"/>
          </reference>
          <reference field="4" count="1">
            <x v="6"/>
          </reference>
          <reference field="10" count="1" selected="0">
            <x v="10"/>
          </reference>
          <reference field="15" count="1" selected="0">
            <x v="7"/>
          </reference>
        </references>
      </pivotArea>
    </format>
    <format dxfId="276">
      <pivotArea field="5" type="button" dataOnly="0" labelOnly="1" outline="0" axis="axisRow" fieldPosition="7"/>
    </format>
    <format dxfId="275">
      <pivotArea dataOnly="0" labelOnly="1" outline="0" fieldPosition="0">
        <references count="8">
          <reference field="0" count="1" selected="0">
            <x v="2"/>
          </reference>
          <reference field="1" count="1" selected="0">
            <x v="1"/>
          </reference>
          <reference field="2" count="1" selected="0">
            <x v="0"/>
          </reference>
          <reference field="3" count="1" selected="0">
            <x v="0"/>
          </reference>
          <reference field="4" count="1" selected="0">
            <x v="2"/>
          </reference>
          <reference field="5" count="1">
            <x v="2"/>
          </reference>
          <reference field="10" count="1" selected="0">
            <x v="5"/>
          </reference>
          <reference field="15" count="1" selected="0">
            <x v="3"/>
          </reference>
        </references>
      </pivotArea>
    </format>
    <format dxfId="274">
      <pivotArea dataOnly="0" labelOnly="1" outline="0" fieldPosition="0">
        <references count="8">
          <reference field="0" count="1" selected="0">
            <x v="1"/>
          </reference>
          <reference field="1" count="1" selected="0">
            <x v="0"/>
          </reference>
          <reference field="2" count="1" selected="0">
            <x v="4"/>
          </reference>
          <reference field="3" count="1" selected="0">
            <x v="0"/>
          </reference>
          <reference field="4" count="1" selected="0">
            <x v="5"/>
          </reference>
          <reference field="5" count="1">
            <x v="0"/>
          </reference>
          <reference field="10" count="1" selected="0">
            <x v="8"/>
          </reference>
          <reference field="15" count="1" selected="0">
            <x v="6"/>
          </reference>
        </references>
      </pivotArea>
    </format>
    <format dxfId="273">
      <pivotArea dataOnly="0" labelOnly="1" outline="0" fieldPosition="0">
        <references count="8">
          <reference field="0" count="1" selected="0">
            <x v="2"/>
          </reference>
          <reference field="1" count="1" selected="0">
            <x v="1"/>
          </reference>
          <reference field="2" count="1" selected="0">
            <x v="1"/>
          </reference>
          <reference field="3" count="1" selected="0">
            <x v="0"/>
          </reference>
          <reference field="4" count="1" selected="0">
            <x v="6"/>
          </reference>
          <reference field="5" count="1">
            <x v="5"/>
          </reference>
          <reference field="10" count="1" selected="0">
            <x v="11"/>
          </reference>
          <reference field="15" count="1" selected="0">
            <x v="8"/>
          </reference>
        </references>
      </pivotArea>
    </format>
    <format dxfId="266">
      <pivotArea field="6" type="button" dataOnly="0" labelOnly="1" outline="0" axis="axisRow" fieldPosition="8"/>
    </format>
    <format dxfId="265">
      <pivotArea dataOnly="0" labelOnly="1" outline="0" fieldPosition="0">
        <references count="9">
          <reference field="0" count="1" selected="0">
            <x v="2"/>
          </reference>
          <reference field="1" count="1" selected="0">
            <x v="1"/>
          </reference>
          <reference field="2" count="1" selected="0">
            <x v="0"/>
          </reference>
          <reference field="3" count="1" selected="0">
            <x v="0"/>
          </reference>
          <reference field="4" count="1" selected="0">
            <x v="2"/>
          </reference>
          <reference field="5" count="1" selected="0">
            <x v="2"/>
          </reference>
          <reference field="6" count="1">
            <x v="1"/>
          </reference>
          <reference field="10" count="1" selected="0">
            <x v="5"/>
          </reference>
          <reference field="15" count="1" selected="0">
            <x v="3"/>
          </reference>
        </references>
      </pivotArea>
    </format>
    <format dxfId="264">
      <pivotArea dataOnly="0" labelOnly="1" outline="0" fieldPosition="0">
        <references count="9">
          <reference field="0" count="1" selected="0">
            <x v="2"/>
          </reference>
          <reference field="1" count="1" selected="0">
            <x v="1"/>
          </reference>
          <reference field="2" count="1" selected="0">
            <x v="1"/>
          </reference>
          <reference field="3" count="1" selected="0">
            <x v="0"/>
          </reference>
          <reference field="4" count="1" selected="0">
            <x v="6"/>
          </reference>
          <reference field="5" count="1" selected="0">
            <x v="5"/>
          </reference>
          <reference field="6" count="1">
            <x v="4"/>
          </reference>
          <reference field="10" count="1" selected="0">
            <x v="11"/>
          </reference>
          <reference field="15" count="1" selected="0">
            <x v="8"/>
          </reference>
        </references>
      </pivotArea>
    </format>
  </formats>
  <pivotTableStyleInfo name="PivotStyleMedium14-GPOCRvw" showRowHeaders="1" showColHeaders="1" showRowStripes="0" showColStripes="0" showLastColumn="1"/>
</pivotTableDefinition>
</file>

<file path=xl/pivotTables/pivotTable4.xml><?xml version="1.0" encoding="utf-8"?>
<pivotTableDefinition xmlns="http://schemas.openxmlformats.org/spreadsheetml/2006/main" name="PTCDRLLookAhead" cacheId="17"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5:J5" firstHeaderRow="1" firstDataRow="1" firstDataCol="9"/>
  <pivotFields count="25">
    <pivotField axis="axisRow" compact="0" outline="0" showAll="0" defaultSubtotal="0">
      <items count="6">
        <item x="0"/>
        <item x="1"/>
        <item x="2"/>
        <item x="3"/>
        <item x="4"/>
        <item x="5"/>
      </items>
    </pivotField>
    <pivotField axis="axisRow" compact="0" outline="0" showAll="0" defaultSubtotal="0">
      <items count="2">
        <item x="0"/>
        <item x="1"/>
      </items>
    </pivotField>
    <pivotField axis="axisRow" compact="0" outline="0" showAll="0" defaultSubtotal="0">
      <items count="8">
        <item x="0"/>
        <item x="3"/>
        <item x="4"/>
        <item x="6"/>
        <item x="2"/>
        <item x="1"/>
        <item x="5"/>
        <item x="7"/>
      </items>
    </pivotField>
    <pivotField axis="axisRow" compact="0" outline="0" showAll="0" defaultSubtotal="0">
      <items count="4">
        <item x="0"/>
        <item x="2"/>
        <item x="1"/>
        <item x="3"/>
      </items>
    </pivotField>
    <pivotField axis="axisRow" compact="0" outline="0" showAll="0" defaultSubtotal="0">
      <items count="10">
        <item x="3"/>
        <item x="6"/>
        <item x="5"/>
        <item x="4"/>
        <item x="2"/>
        <item x="1"/>
        <item x="0"/>
        <item x="7"/>
        <item x="8"/>
        <item x="9"/>
      </items>
    </pivotField>
    <pivotField axis="axisRow" compact="0" outline="0" showAll="0" defaultSubtotal="0">
      <items count="6">
        <item x="1"/>
        <item x="2"/>
        <item x="4"/>
        <item x="0"/>
        <item x="3"/>
        <item x="5"/>
      </items>
    </pivotField>
    <pivotField axis="axisRow" compact="0" outline="0" showAll="0" defaultSubtotal="0">
      <items count="5">
        <item h="1" x="2"/>
        <item h="1" x="1"/>
        <item h="1" x="0"/>
        <item x="4"/>
        <item x="3"/>
      </items>
    </pivotField>
    <pivotField axis="axisRow" compact="0" outline="0" showAll="0" defaultSubtotal="0">
      <items count="18">
        <item x="4"/>
        <item x="5"/>
        <item x="6"/>
        <item x="7"/>
        <item x="8"/>
        <item x="9"/>
        <item x="10"/>
        <item x="11"/>
        <item x="12"/>
        <item x="2"/>
        <item x="3"/>
        <item x="1"/>
        <item x="14"/>
        <item x="15"/>
        <item x="16"/>
        <item x="17"/>
        <item x="0"/>
        <item x="1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9">
    <field x="7"/>
    <field x="0"/>
    <field x="1"/>
    <field x="6"/>
    <field x="2"/>
    <field x="3"/>
    <field x="4"/>
    <field x="5"/>
    <field x="23"/>
  </rowFields>
  <colItems count="1">
    <i/>
  </colItems>
  <formats count="38">
    <format dxfId="462">
      <pivotArea type="all" dataOnly="0" outline="0" fieldPosition="0"/>
    </format>
    <format dxfId="461">
      <pivotArea field="7" type="button" dataOnly="0" labelOnly="1" outline="0" axis="axisRow" fieldPosition="0"/>
    </format>
    <format dxfId="460">
      <pivotArea field="0" type="button" dataOnly="0" labelOnly="1" outline="0" axis="axisRow" fieldPosition="1"/>
    </format>
    <format dxfId="459">
      <pivotArea field="1" type="button" dataOnly="0" labelOnly="1" outline="0" axis="axisRow" fieldPosition="2"/>
    </format>
    <format dxfId="458">
      <pivotArea field="6" type="button" dataOnly="0" labelOnly="1" outline="0" axis="axisRow" fieldPosition="3"/>
    </format>
    <format dxfId="457">
      <pivotArea field="2" type="button" dataOnly="0" labelOnly="1" outline="0" axis="axisRow" fieldPosition="4"/>
    </format>
    <format dxfId="456">
      <pivotArea field="3" type="button" dataOnly="0" labelOnly="1" outline="0" axis="axisRow" fieldPosition="5"/>
    </format>
    <format dxfId="455">
      <pivotArea field="4" type="button" dataOnly="0" labelOnly="1" outline="0" axis="axisRow" fieldPosition="6"/>
    </format>
    <format dxfId="454">
      <pivotArea field="5" type="button" dataOnly="0" labelOnly="1" outline="0" axis="axisRow" fieldPosition="7"/>
    </format>
    <format dxfId="453">
      <pivotArea field="23" type="button" dataOnly="0" labelOnly="1" outline="0" axis="axisRow" fieldPosition="8"/>
    </format>
    <format dxfId="452">
      <pivotArea type="all" dataOnly="0" outline="0" fieldPosition="0"/>
    </format>
    <format dxfId="451">
      <pivotArea field="7" type="button" dataOnly="0" labelOnly="1" outline="0" axis="axisRow" fieldPosition="0"/>
    </format>
    <format dxfId="450">
      <pivotArea field="0" type="button" dataOnly="0" labelOnly="1" outline="0" axis="axisRow" fieldPosition="1"/>
    </format>
    <format dxfId="449">
      <pivotArea field="1" type="button" dataOnly="0" labelOnly="1" outline="0" axis="axisRow" fieldPosition="2"/>
    </format>
    <format dxfId="448">
      <pivotArea field="6" type="button" dataOnly="0" labelOnly="1" outline="0" axis="axisRow" fieldPosition="3"/>
    </format>
    <format dxfId="447">
      <pivotArea field="2" type="button" dataOnly="0" labelOnly="1" outline="0" axis="axisRow" fieldPosition="4"/>
    </format>
    <format dxfId="446">
      <pivotArea field="3" type="button" dataOnly="0" labelOnly="1" outline="0" axis="axisRow" fieldPosition="5"/>
    </format>
    <format dxfId="445">
      <pivotArea field="4" type="button" dataOnly="0" labelOnly="1" outline="0" axis="axisRow" fieldPosition="6"/>
    </format>
    <format dxfId="444">
      <pivotArea field="5" type="button" dataOnly="0" labelOnly="1" outline="0" axis="axisRow" fieldPosition="7"/>
    </format>
    <format dxfId="443">
      <pivotArea field="23" type="button" dataOnly="0" labelOnly="1" outline="0" axis="axisRow" fieldPosition="8"/>
    </format>
    <format dxfId="442">
      <pivotArea type="all" dataOnly="0" outline="0" fieldPosition="0"/>
    </format>
    <format dxfId="441">
      <pivotArea field="7" type="button" dataOnly="0" labelOnly="1" outline="0" axis="axisRow" fieldPosition="0"/>
    </format>
    <format dxfId="440">
      <pivotArea field="0" type="button" dataOnly="0" labelOnly="1" outline="0" axis="axisRow" fieldPosition="1"/>
    </format>
    <format dxfId="439">
      <pivotArea field="1" type="button" dataOnly="0" labelOnly="1" outline="0" axis="axisRow" fieldPosition="2"/>
    </format>
    <format dxfId="438">
      <pivotArea field="6" type="button" dataOnly="0" labelOnly="1" outline="0" axis="axisRow" fieldPosition="3"/>
    </format>
    <format dxfId="437">
      <pivotArea field="2" type="button" dataOnly="0" labelOnly="1" outline="0" axis="axisRow" fieldPosition="4"/>
    </format>
    <format dxfId="436">
      <pivotArea field="3" type="button" dataOnly="0" labelOnly="1" outline="0" axis="axisRow" fieldPosition="5"/>
    </format>
    <format dxfId="435">
      <pivotArea field="4" type="button" dataOnly="0" labelOnly="1" outline="0" axis="axisRow" fieldPosition="6"/>
    </format>
    <format dxfId="434">
      <pivotArea field="5" type="button" dataOnly="0" labelOnly="1" outline="0" axis="axisRow" fieldPosition="7"/>
    </format>
    <format dxfId="433">
      <pivotArea field="23" type="button" dataOnly="0" labelOnly="1" outline="0" axis="axisRow" fieldPosition="8"/>
    </format>
    <format dxfId="299">
      <pivotArea field="7" type="button" dataOnly="0" labelOnly="1" outline="0" axis="axisRow" fieldPosition="0"/>
    </format>
    <format dxfId="298">
      <pivotArea field="0" type="button" dataOnly="0" labelOnly="1" outline="0" axis="axisRow" fieldPosition="1"/>
    </format>
    <format dxfId="297">
      <pivotArea field="1" type="button" dataOnly="0" labelOnly="1" outline="0" axis="axisRow" fieldPosition="2"/>
    </format>
    <format dxfId="296">
      <pivotArea field="6" type="button" dataOnly="0" labelOnly="1" outline="0" axis="axisRow" fieldPosition="3"/>
    </format>
    <format dxfId="295">
      <pivotArea field="2" type="button" dataOnly="0" labelOnly="1" outline="0" axis="axisRow" fieldPosition="4"/>
    </format>
    <format dxfId="283">
      <pivotArea field="4" type="button" dataOnly="0" labelOnly="1" outline="0" axis="axisRow" fieldPosition="6"/>
    </format>
    <format dxfId="272">
      <pivotArea field="5" type="button" dataOnly="0" labelOnly="1" outline="0" axis="axisRow" fieldPosition="7"/>
    </format>
    <format dxfId="263">
      <pivotArea field="23" type="button" dataOnly="0" labelOnly="1" outline="0" axis="axisRow" fieldPosition="8"/>
    </format>
  </formats>
  <pivotTableStyleInfo name="PivotStyleMedium9-LookAhead" showRowHeaders="1" showColHeaders="1" showRowStripes="0" showColStripes="0" showLastColumn="1"/>
  <filters count="1">
    <filter fld="7" type="dateBetween" evalOrder="-1" id="1">
      <autoFilter ref="A1">
        <filterColumn colId="0">
          <customFilters and="1">
            <customFilter operator="greaterThanOrEqual" val="44225"/>
            <customFilter operator="lessThanOrEqual" val="44255"/>
          </customFilters>
        </filterColumn>
      </autoFilter>
    </filter>
  </filters>
</pivotTableDefinition>
</file>

<file path=xl/pivotTables/pivotTable5.xml><?xml version="1.0" encoding="utf-8"?>
<pivotTableDefinition xmlns="http://schemas.openxmlformats.org/spreadsheetml/2006/main" name="PTCDRLQuality" cacheId="74" applyNumberFormats="0" applyBorderFormats="0" applyFontFormats="0" applyPatternFormats="0" applyAlignmentFormats="0" applyWidthHeightFormats="1" dataCaption="Values" updatedVersion="6" minRefreshableVersion="3" showCalcMbrs="0" showDrill="0" itemPrintTitles="1" createdVersion="3" indent="0" outline="1" outlineData="1" multipleFieldFilters="0">
  <location ref="B16:G24" firstHeaderRow="1" firstDataRow="2" firstDataCol="1"/>
  <pivotFields count="25">
    <pivotField axis="axisRow" showAll="0" defaultSubtotal="0">
      <items count="6">
        <item x="0"/>
        <item x="1"/>
        <item x="2"/>
        <item x="3"/>
        <item x="4"/>
        <item x="5"/>
      </items>
    </pivotField>
    <pivotField showAll="0"/>
    <pivotField dataField="1" showAll="0" defaultSubtotal="0">
      <items count="8">
        <item x="0"/>
        <item x="3"/>
        <item x="4"/>
        <item x="6"/>
        <item x="2"/>
        <item x="1"/>
        <item x="5"/>
        <item x="7"/>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2"/>
        <item x="3"/>
        <item x="1"/>
        <item x="0"/>
        <item t="default"/>
      </items>
    </pivotField>
    <pivotField showAll="0"/>
    <pivotField showAll="0"/>
    <pivotField showAll="0"/>
    <pivotField showAll="0"/>
    <pivotField showAll="0"/>
  </pivotFields>
  <rowFields count="1">
    <field x="0"/>
  </rowFields>
  <rowItems count="7">
    <i>
      <x/>
    </i>
    <i>
      <x v="1"/>
    </i>
    <i>
      <x v="2"/>
    </i>
    <i>
      <x v="3"/>
    </i>
    <i>
      <x v="4"/>
    </i>
    <i>
      <x v="5"/>
    </i>
    <i t="grand">
      <x/>
    </i>
  </rowItems>
  <colFields count="1">
    <field x="19"/>
  </colFields>
  <colItems count="5">
    <i>
      <x/>
    </i>
    <i>
      <x v="1"/>
    </i>
    <i>
      <x v="2"/>
    </i>
    <i>
      <x v="3"/>
    </i>
    <i t="grand">
      <x/>
    </i>
  </colItems>
  <dataFields count="1">
    <dataField name="Count of CDRL ID" fld="2" subtotal="count" baseField="0" baseItem="0"/>
  </dataFields>
  <formats count="19">
    <format dxfId="98">
      <pivotArea field="0" type="button" dataOnly="0" labelOnly="1" outline="0" axis="axisRow" fieldPosition="0"/>
    </format>
    <format dxfId="97">
      <pivotArea dataOnly="0" labelOnly="1" fieldPosition="0">
        <references count="1">
          <reference field="19" count="0"/>
        </references>
      </pivotArea>
    </format>
    <format dxfId="96">
      <pivotArea dataOnly="0" labelOnly="1" grandCol="1" outline="0" fieldPosition="0"/>
    </format>
    <format dxfId="95">
      <pivotArea field="0" type="button" dataOnly="0" labelOnly="1" outline="0" axis="axisRow" fieldPosition="0"/>
    </format>
    <format dxfId="94">
      <pivotArea dataOnly="0" labelOnly="1" fieldPosition="0">
        <references count="1">
          <reference field="19" count="0"/>
        </references>
      </pivotArea>
    </format>
    <format dxfId="93">
      <pivotArea dataOnly="0" labelOnly="1" grandCol="1" outline="0" fieldPosition="0"/>
    </format>
    <format dxfId="92">
      <pivotArea field="0" type="button" dataOnly="0" labelOnly="1" outline="0" axis="axisRow" fieldPosition="0"/>
    </format>
    <format dxfId="91">
      <pivotArea dataOnly="0" labelOnly="1" fieldPosition="0">
        <references count="1">
          <reference field="19" count="0"/>
        </references>
      </pivotArea>
    </format>
    <format dxfId="90">
      <pivotArea dataOnly="0" labelOnly="1" grandCol="1" outline="0" fieldPosition="0"/>
    </format>
    <format dxfId="89">
      <pivotArea type="all" dataOnly="0" outline="0" fieldPosition="0"/>
    </format>
    <format dxfId="88">
      <pivotArea outline="0" collapsedLevelsAreSubtotals="1" fieldPosition="0"/>
    </format>
    <format dxfId="87">
      <pivotArea type="origin" dataOnly="0" labelOnly="1" outline="0" fieldPosition="0"/>
    </format>
    <format dxfId="86">
      <pivotArea field="19" type="button" dataOnly="0" labelOnly="1" outline="0" axis="axisCol" fieldPosition="0"/>
    </format>
    <format dxfId="85">
      <pivotArea type="topRight" dataOnly="0" labelOnly="1" outline="0" fieldPosition="0"/>
    </format>
    <format dxfId="84">
      <pivotArea field="0" type="button" dataOnly="0" labelOnly="1" outline="0" axis="axisRow" fieldPosition="0"/>
    </format>
    <format dxfId="83">
      <pivotArea dataOnly="0" labelOnly="1" fieldPosition="0">
        <references count="1">
          <reference field="0" count="0"/>
        </references>
      </pivotArea>
    </format>
    <format dxfId="82">
      <pivotArea dataOnly="0" labelOnly="1" grandRow="1" outline="0" fieldPosition="0"/>
    </format>
    <format dxfId="81">
      <pivotArea dataOnly="0" labelOnly="1" fieldPosition="0">
        <references count="1">
          <reference field="19" count="0"/>
        </references>
      </pivotArea>
    </format>
    <format dxfId="80">
      <pivotArea dataOnly="0" labelOnly="1" grandCol="1" outline="0" fieldPosition="0"/>
    </format>
  </formats>
  <pivotTableStyleInfo name="PivotStyleLight20-Metrics" showRowHeaders="1" showColHeaders="1" showRowStripes="0" showColStripes="0" showLastColumn="1"/>
</pivotTableDefinition>
</file>

<file path=xl/pivotTables/pivotTable6.xml><?xml version="1.0" encoding="utf-8"?>
<pivotTableDefinition xmlns="http://schemas.openxmlformats.org/spreadsheetml/2006/main" name="PTCDRLOnTimeDlvryMetrics" cacheId="69" applyNumberFormats="0" applyBorderFormats="0" applyFontFormats="0" applyPatternFormats="0" applyAlignmentFormats="0" applyWidthHeightFormats="1" dataCaption="Values" updatedVersion="6" minRefreshableVersion="3" showCalcMbrs="0" showDrill="0" itemPrintTitles="1" createdVersion="3" indent="0" outline="1" outlineData="1" multipleFieldFilters="0">
  <location ref="B4:F12" firstHeaderRow="1" firstDataRow="2" firstDataCol="1"/>
  <pivotFields count="25">
    <pivotField axis="axisRow" showAll="0" defaultSubtotal="0">
      <items count="6">
        <item x="0"/>
        <item x="1"/>
        <item x="2"/>
        <item x="3"/>
        <item x="4"/>
        <item x="5"/>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h="1" x="3"/>
        <item x="1"/>
        <item x="2"/>
        <item x="0"/>
        <item t="default"/>
      </items>
    </pivotField>
  </pivotFields>
  <rowFields count="1">
    <field x="0"/>
  </rowFields>
  <rowItems count="7">
    <i>
      <x/>
    </i>
    <i>
      <x v="1"/>
    </i>
    <i>
      <x v="2"/>
    </i>
    <i>
      <x v="3"/>
    </i>
    <i>
      <x v="4"/>
    </i>
    <i>
      <x v="5"/>
    </i>
    <i t="grand">
      <x/>
    </i>
  </rowItems>
  <colFields count="1">
    <field x="24"/>
  </colFields>
  <colItems count="4">
    <i>
      <x v="1"/>
    </i>
    <i>
      <x v="2"/>
    </i>
    <i>
      <x v="3"/>
    </i>
    <i t="grand">
      <x/>
    </i>
  </colItems>
  <dataFields count="1">
    <dataField name="Count of CDRL ID" fld="2" subtotal="count" baseField="0" baseItem="0"/>
  </dataFields>
  <formats count="28">
    <format dxfId="107">
      <pivotArea field="0" type="button" dataOnly="0" labelOnly="1" outline="0" axis="axisRow" fieldPosition="0"/>
    </format>
    <format dxfId="106">
      <pivotArea dataOnly="0" labelOnly="1" fieldPosition="0">
        <references count="1">
          <reference field="24" count="0"/>
        </references>
      </pivotArea>
    </format>
    <format dxfId="105">
      <pivotArea dataOnly="0" labelOnly="1" grandCol="1" outline="0" fieldPosition="0"/>
    </format>
    <format dxfId="104">
      <pivotArea field="0" type="button" dataOnly="0" labelOnly="1" outline="0" axis="axisRow" fieldPosition="0"/>
    </format>
    <format dxfId="103">
      <pivotArea dataOnly="0" labelOnly="1" fieldPosition="0">
        <references count="1">
          <reference field="24" count="0"/>
        </references>
      </pivotArea>
    </format>
    <format dxfId="102">
      <pivotArea dataOnly="0" labelOnly="1" grandCol="1" outline="0" fieldPosition="0"/>
    </format>
    <format dxfId="101">
      <pivotArea field="0" type="button" dataOnly="0" labelOnly="1" outline="0" axis="axisRow" fieldPosition="0"/>
    </format>
    <format dxfId="100">
      <pivotArea dataOnly="0" labelOnly="1" fieldPosition="0">
        <references count="1">
          <reference field="24" count="0"/>
        </references>
      </pivotArea>
    </format>
    <format dxfId="99">
      <pivotArea dataOnly="0" labelOnly="1" grandCol="1" outline="0" fieldPosition="0"/>
    </format>
    <format dxfId="79">
      <pivotArea type="all" dataOnly="0" outline="0" fieldPosition="0"/>
    </format>
    <format dxfId="78">
      <pivotArea outline="0" collapsedLevelsAreSubtotals="1" fieldPosition="0"/>
    </format>
    <format dxfId="77">
      <pivotArea type="origin" dataOnly="0" labelOnly="1" outline="0" fieldPosition="0"/>
    </format>
    <format dxfId="76">
      <pivotArea field="24" type="button" dataOnly="0" labelOnly="1" outline="0" axis="axisCol" fieldPosition="0"/>
    </format>
    <format dxfId="75">
      <pivotArea type="topRight" dataOnly="0" labelOnly="1" outline="0" fieldPosition="0"/>
    </format>
    <format dxfId="74">
      <pivotArea field="0" type="button" dataOnly="0" labelOnly="1" outline="0" axis="axisRow" fieldPosition="0"/>
    </format>
    <format dxfId="73">
      <pivotArea dataOnly="0" labelOnly="1" fieldPosition="0">
        <references count="1">
          <reference field="0" count="0"/>
        </references>
      </pivotArea>
    </format>
    <format dxfId="72">
      <pivotArea dataOnly="0" labelOnly="1" grandRow="1" outline="0" fieldPosition="0"/>
    </format>
    <format dxfId="71">
      <pivotArea dataOnly="0" labelOnly="1" fieldPosition="0">
        <references count="1">
          <reference field="24" count="0"/>
        </references>
      </pivotArea>
    </format>
    <format dxfId="70">
      <pivotArea dataOnly="0" labelOnly="1" grandCol="1" outline="0" fieldPosition="0"/>
    </format>
    <format dxfId="69">
      <pivotArea type="origin" dataOnly="0" labelOnly="1" outline="0" fieldPosition="0"/>
    </format>
    <format dxfId="68">
      <pivotArea dataOnly="0" labelOnly="1" fieldPosition="0">
        <references count="1">
          <reference field="0" count="1">
            <x v="5"/>
          </reference>
        </references>
      </pivotArea>
    </format>
    <format dxfId="67">
      <pivotArea dataOnly="0" labelOnly="1" grandRow="1" outline="0" fieldPosition="0"/>
    </format>
    <format dxfId="66">
      <pivotArea dataOnly="0" labelOnly="1" fieldPosition="0">
        <references count="1">
          <reference field="24" count="1">
            <x v="1"/>
          </reference>
        </references>
      </pivotArea>
    </format>
    <format dxfId="65">
      <pivotArea dataOnly="0" labelOnly="1" fieldPosition="0">
        <references count="1">
          <reference field="24" count="1">
            <x v="1"/>
          </reference>
        </references>
      </pivotArea>
    </format>
    <format dxfId="64">
      <pivotArea dataOnly="0" labelOnly="1" fieldPosition="0">
        <references count="1">
          <reference field="24" count="1">
            <x v="2"/>
          </reference>
        </references>
      </pivotArea>
    </format>
    <format dxfId="63">
      <pivotArea dataOnly="0" labelOnly="1" fieldPosition="0">
        <references count="1">
          <reference field="24" count="1">
            <x v="2"/>
          </reference>
        </references>
      </pivotArea>
    </format>
    <format dxfId="62">
      <pivotArea dataOnly="0" labelOnly="1" fieldPosition="0">
        <references count="1">
          <reference field="24" count="1">
            <x v="3"/>
          </reference>
        </references>
      </pivotArea>
    </format>
    <format dxfId="61">
      <pivotArea dataOnly="0" labelOnly="1" fieldPosition="0">
        <references count="1">
          <reference field="24" count="1">
            <x v="3"/>
          </reference>
        </references>
      </pivotArea>
    </format>
  </formats>
  <pivotTableStyleInfo name="PivotStyleLight20-Metrics" showRowHeaders="1" showColHeaders="1" showRowStripes="0" showColStripes="0" showLastColumn="1"/>
</pivotTableDefinition>
</file>

<file path=xl/pivotTables/pivotTable7.xml><?xml version="1.0" encoding="utf-8"?>
<pivotTableDefinition xmlns="http://schemas.openxmlformats.org/spreadsheetml/2006/main" name="PTReportPivot" cacheId="65"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A10:J30" firstHeaderRow="1" firstDataRow="1" firstDataCol="10"/>
  <pivotFields count="25">
    <pivotField axis="axisRow" compact="0" outline="0" showAll="0" defaultSubtotal="0">
      <items count="6">
        <item x="0"/>
        <item x="1"/>
        <item x="2"/>
        <item x="3"/>
        <item x="4"/>
        <item x="5"/>
      </items>
    </pivotField>
    <pivotField compact="0" outline="0" showAll="0"/>
    <pivotField axis="axisRow" compact="0" outline="0" showAll="0" defaultSubtotal="0">
      <items count="8">
        <item x="0"/>
        <item x="3"/>
        <item x="4"/>
        <item x="6"/>
        <item x="2"/>
        <item x="1"/>
        <item x="5"/>
        <item x="7"/>
      </items>
    </pivotField>
    <pivotField axis="axisRow" compact="0" outline="0" showAll="0" defaultSubtotal="0">
      <items count="4">
        <item x="0"/>
        <item x="2"/>
        <item x="1"/>
        <item x="3"/>
      </items>
    </pivotField>
    <pivotField axis="axisRow" compact="0" outline="0" showAll="0" defaultSubtotal="0">
      <items count="10">
        <item x="3"/>
        <item x="6"/>
        <item x="5"/>
        <item x="4"/>
        <item x="2"/>
        <item x="1"/>
        <item x="0"/>
        <item x="7"/>
        <item x="8"/>
        <item x="9"/>
      </items>
    </pivotField>
    <pivotField axis="axisRow" compact="0" outline="0" showAll="0" defaultSubtotal="0">
      <items count="6">
        <item x="1"/>
        <item x="2"/>
        <item x="4"/>
        <item x="0"/>
        <item x="3"/>
        <item x="5"/>
      </items>
    </pivotField>
    <pivotField compact="0" outline="0" showAll="0">
      <items count="6">
        <item x="2"/>
        <item x="1"/>
        <item x="0"/>
        <item x="4"/>
        <item x="3"/>
        <item t="default"/>
      </items>
    </pivotField>
    <pivotField axis="axisRow" compact="0" outline="0" showAll="0" defaultSubtotal="0">
      <items count="18">
        <item x="4"/>
        <item x="5"/>
        <item x="6"/>
        <item x="7"/>
        <item x="8"/>
        <item x="9"/>
        <item x="10"/>
        <item x="11"/>
        <item x="12"/>
        <item x="2"/>
        <item x="3"/>
        <item x="1"/>
        <item x="14"/>
        <item x="15"/>
        <item x="16"/>
        <item x="17"/>
        <item x="0"/>
        <item x="13"/>
      </items>
    </pivotField>
    <pivotField axis="axisRow" compact="0" outline="0" showAll="0" defaultSubtotal="0">
      <items count="18">
        <item x="4"/>
        <item x="5"/>
        <item x="6"/>
        <item x="7"/>
        <item x="8"/>
        <item x="9"/>
        <item x="10"/>
        <item x="11"/>
        <item x="12"/>
        <item x="2"/>
        <item x="3"/>
        <item x="13"/>
        <item x="1"/>
        <item x="17"/>
        <item x="15"/>
        <item x="16"/>
        <item x="0"/>
        <item x="14"/>
      </items>
    </pivotField>
    <pivotField axis="axisRow" compact="0" outline="0" showAll="0" defaultSubtotal="0">
      <items count="8">
        <item x="6"/>
        <item x="3"/>
        <item x="1"/>
        <item x="4"/>
        <item x="5"/>
        <item x="2"/>
        <item x="7"/>
        <item x="0"/>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9">
        <item x="3"/>
        <item x="4"/>
        <item x="5"/>
        <item x="6"/>
        <item x="7"/>
        <item x="8"/>
        <item x="1"/>
        <item x="2"/>
        <item x="0"/>
      </items>
    </pivotField>
    <pivotField compact="0" outline="0" showAll="0"/>
    <pivotField compact="0" outline="0" showAll="0"/>
    <pivotField compact="0" outline="0" showAll="0"/>
    <pivotField axis="axisRow" compact="0" outline="0" showAll="0" defaultSubtotal="0">
      <items count="4">
        <item x="2"/>
        <item x="3"/>
        <item x="1"/>
        <item x="0"/>
      </items>
    </pivotField>
    <pivotField compact="0" outline="0" showAll="0"/>
    <pivotField compact="0" outline="0" showAll="0"/>
    <pivotField compact="0" outline="0" showAll="0"/>
    <pivotField compact="0" outline="0" showAll="0"/>
    <pivotField compact="0" outline="0" showAll="0"/>
  </pivotFields>
  <rowFields count="10">
    <field x="2"/>
    <field x="3"/>
    <field x="0"/>
    <field x="4"/>
    <field x="5"/>
    <field x="7"/>
    <field x="8"/>
    <field x="9"/>
    <field x="15"/>
    <field x="19"/>
  </rowFields>
  <rowItems count="20">
    <i>
      <x/>
      <x/>
      <x/>
      <x v="6"/>
      <x v="3"/>
      <x v="16"/>
      <x v="16"/>
      <x v="7"/>
      <x v="8"/>
      <x v="3"/>
    </i>
    <i r="2">
      <x v="1"/>
      <x v="6"/>
      <x/>
      <x v="10"/>
      <x v="10"/>
      <x v="7"/>
      <x v="7"/>
      <x v="3"/>
    </i>
    <i r="2">
      <x v="2"/>
      <x/>
      <x v="1"/>
      <x v="4"/>
      <x v="4"/>
      <x v="7"/>
      <x v="8"/>
      <x v="3"/>
    </i>
    <i r="3">
      <x v="1"/>
      <x v="1"/>
      <x v="7"/>
      <x v="7"/>
      <x v="1"/>
      <x v="4"/>
      <x v="1"/>
    </i>
    <i r="3">
      <x v="2"/>
      <x v="2"/>
      <x v="6"/>
      <x v="6"/>
      <x v="1"/>
      <x v="3"/>
      <x v="1"/>
    </i>
    <i r="8">
      <x v="8"/>
      <x v="3"/>
    </i>
    <i r="3">
      <x v="3"/>
      <x v="1"/>
      <x v="5"/>
      <x v="5"/>
      <x v="3"/>
      <x v="2"/>
      <x v="3"/>
    </i>
    <i r="3">
      <x v="4"/>
      <x v="1"/>
      <x/>
      <x/>
      <x v="7"/>
      <x/>
      <x v="2"/>
    </i>
    <i r="4">
      <x v="2"/>
      <x v="3"/>
      <x v="3"/>
      <x v="1"/>
      <x v="1"/>
      <x/>
    </i>
    <i r="4">
      <x v="3"/>
      <x v="1"/>
      <x v="1"/>
      <x v="5"/>
      <x v="8"/>
      <x v="3"/>
    </i>
    <i r="4">
      <x v="4"/>
      <x v="2"/>
      <x v="2"/>
      <x v="7"/>
      <x v="8"/>
      <x v="3"/>
    </i>
    <i>
      <x v="1"/>
      <x/>
      <x v="2"/>
      <x v="6"/>
      <x/>
      <x v="8"/>
      <x v="8"/>
      <x v="2"/>
      <x v="5"/>
      <x v="2"/>
    </i>
    <i r="5">
      <x v="11"/>
      <x v="11"/>
      <x v="4"/>
      <x v="7"/>
      <x v="1"/>
    </i>
    <i r="4">
      <x v="5"/>
      <x v="17"/>
      <x v="17"/>
      <x/>
      <x v="8"/>
      <x v="3"/>
    </i>
    <i>
      <x v="2"/>
      <x/>
      <x v="2"/>
      <x v="6"/>
      <x/>
      <x v="12"/>
      <x v="17"/>
      <x v="6"/>
      <x v="8"/>
      <x v="3"/>
    </i>
    <i>
      <x v="3"/>
      <x v="1"/>
      <x v="4"/>
      <x v="8"/>
      <x/>
      <x v="14"/>
      <x v="15"/>
      <x v="1"/>
      <x v="8"/>
      <x v="3"/>
    </i>
    <i>
      <x v="4"/>
      <x/>
      <x v="1"/>
      <x v="5"/>
      <x/>
      <x v="9"/>
      <x v="9"/>
      <x v="5"/>
      <x v="6"/>
      <x v="3"/>
    </i>
    <i>
      <x v="5"/>
      <x/>
      <x/>
      <x v="5"/>
      <x v="3"/>
      <x v="11"/>
      <x v="12"/>
      <x v="2"/>
      <x v="8"/>
      <x v="3"/>
    </i>
    <i>
      <x v="6"/>
      <x v="2"/>
      <x v="3"/>
      <x v="7"/>
      <x/>
      <x v="13"/>
      <x v="14"/>
      <x v="7"/>
      <x v="8"/>
      <x v="3"/>
    </i>
    <i>
      <x v="7"/>
      <x v="3"/>
      <x v="5"/>
      <x v="9"/>
      <x/>
      <x v="15"/>
      <x v="13"/>
      <x v="4"/>
      <x v="8"/>
      <x v="3"/>
    </i>
  </rowItems>
  <colItems count="1">
    <i/>
  </colItems>
  <formats count="155">
    <format dxfId="262">
      <pivotArea field="2" type="button" dataOnly="0" labelOnly="1" outline="0" axis="axisRow" fieldPosition="0"/>
    </format>
    <format dxfId="261">
      <pivotArea field="3" type="button" dataOnly="0" labelOnly="1" outline="0" axis="axisRow" fieldPosition="1"/>
    </format>
    <format dxfId="260">
      <pivotArea field="0" type="button" dataOnly="0" labelOnly="1" outline="0" axis="axisRow" fieldPosition="2"/>
    </format>
    <format dxfId="259">
      <pivotArea field="4" type="button" dataOnly="0" labelOnly="1" outline="0" axis="axisRow" fieldPosition="3"/>
    </format>
    <format dxfId="258">
      <pivotArea field="5" type="button" dataOnly="0" labelOnly="1" outline="0" axis="axisRow" fieldPosition="4"/>
    </format>
    <format dxfId="257">
      <pivotArea field="7" type="button" dataOnly="0" labelOnly="1" outline="0" axis="axisRow" fieldPosition="5"/>
    </format>
    <format dxfId="256">
      <pivotArea field="8" type="button" dataOnly="0" labelOnly="1" outline="0" axis="axisRow" fieldPosition="6"/>
    </format>
    <format dxfId="255">
      <pivotArea field="9" type="button" dataOnly="0" labelOnly="1" outline="0" axis="axisRow" fieldPosition="7"/>
    </format>
    <format dxfId="254">
      <pivotArea field="15" type="button" dataOnly="0" labelOnly="1" outline="0" axis="axisRow" fieldPosition="8"/>
    </format>
    <format dxfId="253">
      <pivotArea field="19" type="button" dataOnly="0" labelOnly="1" outline="0" axis="axisRow" fieldPosition="9"/>
    </format>
    <format dxfId="252">
      <pivotArea field="2" type="button" dataOnly="0" labelOnly="1" outline="0" axis="axisRow" fieldPosition="0"/>
    </format>
    <format dxfId="251">
      <pivotArea field="3" type="button" dataOnly="0" labelOnly="1" outline="0" axis="axisRow" fieldPosition="1"/>
    </format>
    <format dxfId="250">
      <pivotArea field="0" type="button" dataOnly="0" labelOnly="1" outline="0" axis="axisRow" fieldPosition="2"/>
    </format>
    <format dxfId="249">
      <pivotArea field="4" type="button" dataOnly="0" labelOnly="1" outline="0" axis="axisRow" fieldPosition="3"/>
    </format>
    <format dxfId="248">
      <pivotArea field="5" type="button" dataOnly="0" labelOnly="1" outline="0" axis="axisRow" fieldPosition="4"/>
    </format>
    <format dxfId="247">
      <pivotArea field="7" type="button" dataOnly="0" labelOnly="1" outline="0" axis="axisRow" fieldPosition="5"/>
    </format>
    <format dxfId="246">
      <pivotArea field="8" type="button" dataOnly="0" labelOnly="1" outline="0" axis="axisRow" fieldPosition="6"/>
    </format>
    <format dxfId="245">
      <pivotArea field="9" type="button" dataOnly="0" labelOnly="1" outline="0" axis="axisRow" fieldPosition="7"/>
    </format>
    <format dxfId="244">
      <pivotArea field="15" type="button" dataOnly="0" labelOnly="1" outline="0" axis="axisRow" fieldPosition="8"/>
    </format>
    <format dxfId="243">
      <pivotArea field="19" type="button" dataOnly="0" labelOnly="1" outline="0" axis="axisRow" fieldPosition="9"/>
    </format>
    <format dxfId="242">
      <pivotArea field="2" type="button" dataOnly="0" labelOnly="1" outline="0" axis="axisRow" fieldPosition="0"/>
    </format>
    <format dxfId="241">
      <pivotArea field="3" type="button" dataOnly="0" labelOnly="1" outline="0" axis="axisRow" fieldPosition="1"/>
    </format>
    <format dxfId="240">
      <pivotArea field="0" type="button" dataOnly="0" labelOnly="1" outline="0" axis="axisRow" fieldPosition="2"/>
    </format>
    <format dxfId="239">
      <pivotArea field="4" type="button" dataOnly="0" labelOnly="1" outline="0" axis="axisRow" fieldPosition="3"/>
    </format>
    <format dxfId="238">
      <pivotArea field="5" type="button" dataOnly="0" labelOnly="1" outline="0" axis="axisRow" fieldPosition="4"/>
    </format>
    <format dxfId="237">
      <pivotArea field="7" type="button" dataOnly="0" labelOnly="1" outline="0" axis="axisRow" fieldPosition="5"/>
    </format>
    <format dxfId="236">
      <pivotArea field="8" type="button" dataOnly="0" labelOnly="1" outline="0" axis="axisRow" fieldPosition="6"/>
    </format>
    <format dxfId="235">
      <pivotArea field="9" type="button" dataOnly="0" labelOnly="1" outline="0" axis="axisRow" fieldPosition="7"/>
    </format>
    <format dxfId="234">
      <pivotArea field="15" type="button" dataOnly="0" labelOnly="1" outline="0" axis="axisRow" fieldPosition="8"/>
    </format>
    <format dxfId="233">
      <pivotArea field="19" type="button" dataOnly="0" labelOnly="1" outline="0" axis="axisRow" fieldPosition="9"/>
    </format>
    <format dxfId="232">
      <pivotArea field="2" type="button" dataOnly="0" labelOnly="1" outline="0" axis="axisRow" fieldPosition="0"/>
    </format>
    <format dxfId="231">
      <pivotArea dataOnly="0" labelOnly="1" outline="0" fieldPosition="0">
        <references count="1">
          <reference field="2" count="0"/>
        </references>
      </pivotArea>
    </format>
    <format dxfId="230">
      <pivotArea field="3" type="button" dataOnly="0" labelOnly="1" outline="0" axis="axisRow" fieldPosition="1"/>
    </format>
    <format dxfId="229">
      <pivotArea dataOnly="0" labelOnly="1" outline="0" fieldPosition="0">
        <references count="2">
          <reference field="2" count="1" selected="0">
            <x v="0"/>
          </reference>
          <reference field="3" count="1">
            <x v="0"/>
          </reference>
        </references>
      </pivotArea>
    </format>
    <format dxfId="228">
      <pivotArea dataOnly="0" labelOnly="1" outline="0" fieldPosition="0">
        <references count="2">
          <reference field="2" count="1" selected="0">
            <x v="3"/>
          </reference>
          <reference field="3" count="1">
            <x v="1"/>
          </reference>
        </references>
      </pivotArea>
    </format>
    <format dxfId="227">
      <pivotArea dataOnly="0" labelOnly="1" outline="0" fieldPosition="0">
        <references count="2">
          <reference field="2" count="1" selected="0">
            <x v="4"/>
          </reference>
          <reference field="3" count="1">
            <x v="0"/>
          </reference>
        </references>
      </pivotArea>
    </format>
    <format dxfId="226">
      <pivotArea dataOnly="0" labelOnly="1" outline="0" fieldPosition="0">
        <references count="2">
          <reference field="2" count="1" selected="0">
            <x v="6"/>
          </reference>
          <reference field="3" count="1">
            <x v="2"/>
          </reference>
        </references>
      </pivotArea>
    </format>
    <format dxfId="225">
      <pivotArea dataOnly="0" labelOnly="1" outline="0" fieldPosition="0">
        <references count="2">
          <reference field="2" count="1" selected="0">
            <x v="7"/>
          </reference>
          <reference field="3" count="1">
            <x v="3"/>
          </reference>
        </references>
      </pivotArea>
    </format>
    <format dxfId="224">
      <pivotArea field="0" type="button" dataOnly="0" labelOnly="1" outline="0" axis="axisRow" fieldPosition="2"/>
    </format>
    <format dxfId="223">
      <pivotArea field="4" type="button" dataOnly="0" labelOnly="1" outline="0" axis="axisRow" fieldPosition="3"/>
    </format>
    <format dxfId="222">
      <pivotArea field="5" type="button" dataOnly="0" labelOnly="1" outline="0" axis="axisRow" fieldPosition="4"/>
    </format>
    <format dxfId="221">
      <pivotArea field="7" type="button" dataOnly="0" labelOnly="1" outline="0" axis="axisRow" fieldPosition="5"/>
    </format>
    <format dxfId="220">
      <pivotArea field="8" type="button" dataOnly="0" labelOnly="1" outline="0" axis="axisRow" fieldPosition="6"/>
    </format>
    <format dxfId="219">
      <pivotArea field="9" type="button" dataOnly="0" labelOnly="1" outline="0" axis="axisRow" fieldPosition="7"/>
    </format>
    <format dxfId="218">
      <pivotArea field="15" type="button" dataOnly="0" labelOnly="1" outline="0" axis="axisRow" fieldPosition="8"/>
    </format>
    <format dxfId="217">
      <pivotArea field="19" type="button" dataOnly="0" labelOnly="1" outline="0" axis="axisRow" fieldPosition="9"/>
    </format>
    <format dxfId="216">
      <pivotArea dataOnly="0" labelOnly="1" outline="0" fieldPosition="0">
        <references count="3">
          <reference field="0" count="3">
            <x v="0"/>
            <x v="1"/>
            <x v="2"/>
          </reference>
          <reference field="2" count="1" selected="0">
            <x v="0"/>
          </reference>
          <reference field="3" count="1" selected="0">
            <x v="0"/>
          </reference>
        </references>
      </pivotArea>
    </format>
    <format dxfId="215">
      <pivotArea dataOnly="0" labelOnly="1" outline="0" fieldPosition="0">
        <references count="3">
          <reference field="0" count="1">
            <x v="4"/>
          </reference>
          <reference field="2" count="1" selected="0">
            <x v="3"/>
          </reference>
          <reference field="3" count="1" selected="0">
            <x v="1"/>
          </reference>
        </references>
      </pivotArea>
    </format>
    <format dxfId="214">
      <pivotArea dataOnly="0" labelOnly="1" outline="0" fieldPosition="0">
        <references count="3">
          <reference field="0" count="1">
            <x v="1"/>
          </reference>
          <reference field="2" count="1" selected="0">
            <x v="4"/>
          </reference>
          <reference field="3" count="1" selected="0">
            <x v="0"/>
          </reference>
        </references>
      </pivotArea>
    </format>
    <format dxfId="213">
      <pivotArea dataOnly="0" labelOnly="1" outline="0" fieldPosition="0">
        <references count="3">
          <reference field="0" count="1">
            <x v="0"/>
          </reference>
          <reference field="2" count="1" selected="0">
            <x v="5"/>
          </reference>
          <reference field="3" count="1" selected="0">
            <x v="0"/>
          </reference>
        </references>
      </pivotArea>
    </format>
    <format dxfId="212">
      <pivotArea dataOnly="0" labelOnly="1" outline="0" fieldPosition="0">
        <references count="3">
          <reference field="0" count="1">
            <x v="3"/>
          </reference>
          <reference field="2" count="1" selected="0">
            <x v="6"/>
          </reference>
          <reference field="3" count="1" selected="0">
            <x v="2"/>
          </reference>
        </references>
      </pivotArea>
    </format>
    <format dxfId="211">
      <pivotArea dataOnly="0" labelOnly="1" outline="0" fieldPosition="0">
        <references count="3">
          <reference field="0" count="1">
            <x v="5"/>
          </reference>
          <reference field="2" count="1" selected="0">
            <x v="7"/>
          </reference>
          <reference field="3" count="1" selected="0">
            <x v="3"/>
          </reference>
        </references>
      </pivotArea>
    </format>
    <format dxfId="210">
      <pivotArea dataOnly="0" labelOnly="1" outline="0" fieldPosition="0">
        <references count="4">
          <reference field="0" count="1" selected="0">
            <x v="0"/>
          </reference>
          <reference field="2" count="1" selected="0">
            <x v="0"/>
          </reference>
          <reference field="3" count="1" selected="0">
            <x v="0"/>
          </reference>
          <reference field="4" count="1">
            <x v="6"/>
          </reference>
        </references>
      </pivotArea>
    </format>
    <format dxfId="209">
      <pivotArea dataOnly="0" labelOnly="1" outline="0" fieldPosition="0">
        <references count="4">
          <reference field="0" count="1" selected="0">
            <x v="2"/>
          </reference>
          <reference field="2" count="1" selected="0">
            <x v="0"/>
          </reference>
          <reference field="3" count="1" selected="0">
            <x v="0"/>
          </reference>
          <reference field="4" count="5">
            <x v="0"/>
            <x v="1"/>
            <x v="2"/>
            <x v="3"/>
            <x v="4"/>
          </reference>
        </references>
      </pivotArea>
    </format>
    <format dxfId="208">
      <pivotArea dataOnly="0" labelOnly="1" outline="0" fieldPosition="0">
        <references count="4">
          <reference field="0" count="1" selected="0">
            <x v="2"/>
          </reference>
          <reference field="2" count="1" selected="0">
            <x v="1"/>
          </reference>
          <reference field="3" count="1" selected="0">
            <x v="0"/>
          </reference>
          <reference field="4" count="1">
            <x v="6"/>
          </reference>
        </references>
      </pivotArea>
    </format>
    <format dxfId="207">
      <pivotArea dataOnly="0" labelOnly="1" outline="0" fieldPosition="0">
        <references count="4">
          <reference field="0" count="1" selected="0">
            <x v="4"/>
          </reference>
          <reference field="2" count="1" selected="0">
            <x v="3"/>
          </reference>
          <reference field="3" count="1" selected="0">
            <x v="1"/>
          </reference>
          <reference field="4" count="1">
            <x v="8"/>
          </reference>
        </references>
      </pivotArea>
    </format>
    <format dxfId="206">
      <pivotArea dataOnly="0" labelOnly="1" outline="0" fieldPosition="0">
        <references count="4">
          <reference field="0" count="1" selected="0">
            <x v="1"/>
          </reference>
          <reference field="2" count="1" selected="0">
            <x v="4"/>
          </reference>
          <reference field="3" count="1" selected="0">
            <x v="0"/>
          </reference>
          <reference field="4" count="1">
            <x v="5"/>
          </reference>
        </references>
      </pivotArea>
    </format>
    <format dxfId="205">
      <pivotArea dataOnly="0" labelOnly="1" outline="0" fieldPosition="0">
        <references count="4">
          <reference field="0" count="1" selected="0">
            <x v="3"/>
          </reference>
          <reference field="2" count="1" selected="0">
            <x v="6"/>
          </reference>
          <reference field="3" count="1" selected="0">
            <x v="2"/>
          </reference>
          <reference field="4" count="1">
            <x v="7"/>
          </reference>
        </references>
      </pivotArea>
    </format>
    <format dxfId="204">
      <pivotArea dataOnly="0" labelOnly="1" outline="0" fieldPosition="0">
        <references count="4">
          <reference field="0" count="1" selected="0">
            <x v="5"/>
          </reference>
          <reference field="2" count="1" selected="0">
            <x v="7"/>
          </reference>
          <reference field="3" count="1" selected="0">
            <x v="3"/>
          </reference>
          <reference field="4" count="1">
            <x v="9"/>
          </reference>
        </references>
      </pivotArea>
    </format>
    <format dxfId="203">
      <pivotArea dataOnly="0" labelOnly="1" outline="0" fieldPosition="0">
        <references count="5">
          <reference field="0" count="1" selected="0">
            <x v="0"/>
          </reference>
          <reference field="2" count="1" selected="0">
            <x v="0"/>
          </reference>
          <reference field="3" count="1" selected="0">
            <x v="0"/>
          </reference>
          <reference field="4" count="1" selected="0">
            <x v="6"/>
          </reference>
          <reference field="5" count="1">
            <x v="3"/>
          </reference>
        </references>
      </pivotArea>
    </format>
    <format dxfId="202">
      <pivotArea dataOnly="0" labelOnly="1" outline="0" fieldPosition="0">
        <references count="5">
          <reference field="0" count="1" selected="0">
            <x v="1"/>
          </reference>
          <reference field="2" count="1" selected="0">
            <x v="0"/>
          </reference>
          <reference field="3" count="1" selected="0">
            <x v="0"/>
          </reference>
          <reference field="4" count="1" selected="0">
            <x v="6"/>
          </reference>
          <reference field="5" count="1">
            <x v="0"/>
          </reference>
        </references>
      </pivotArea>
    </format>
    <format dxfId="201">
      <pivotArea dataOnly="0" labelOnly="1" outline="0" fieldPosition="0">
        <references count="5">
          <reference field="0" count="1" selected="0">
            <x v="2"/>
          </reference>
          <reference field="2" count="1" selected="0">
            <x v="0"/>
          </reference>
          <reference field="3" count="1" selected="0">
            <x v="0"/>
          </reference>
          <reference field="4" count="1" selected="0">
            <x v="0"/>
          </reference>
          <reference field="5" count="1">
            <x v="1"/>
          </reference>
        </references>
      </pivotArea>
    </format>
    <format dxfId="200">
      <pivotArea dataOnly="0" labelOnly="1" outline="0" fieldPosition="0">
        <references count="5">
          <reference field="0" count="1" selected="0">
            <x v="2"/>
          </reference>
          <reference field="2" count="1" selected="0">
            <x v="0"/>
          </reference>
          <reference field="3" count="1" selected="0">
            <x v="0"/>
          </reference>
          <reference field="4" count="1" selected="0">
            <x v="2"/>
          </reference>
          <reference field="5" count="1">
            <x v="2"/>
          </reference>
        </references>
      </pivotArea>
    </format>
    <format dxfId="199">
      <pivotArea dataOnly="0" labelOnly="1" outline="0" fieldPosition="0">
        <references count="5">
          <reference field="0" count="1" selected="0">
            <x v="2"/>
          </reference>
          <reference field="2" count="1" selected="0">
            <x v="0"/>
          </reference>
          <reference field="3" count="1" selected="0">
            <x v="0"/>
          </reference>
          <reference field="4" count="1" selected="0">
            <x v="3"/>
          </reference>
          <reference field="5" count="1">
            <x v="1"/>
          </reference>
        </references>
      </pivotArea>
    </format>
    <format dxfId="198">
      <pivotArea dataOnly="0" labelOnly="1" outline="0" fieldPosition="0">
        <references count="5">
          <reference field="0" count="1" selected="0">
            <x v="2"/>
          </reference>
          <reference field="2" count="1" selected="0">
            <x v="0"/>
          </reference>
          <reference field="3" count="1" selected="0">
            <x v="0"/>
          </reference>
          <reference field="4" count="1" selected="0">
            <x v="4"/>
          </reference>
          <reference field="5" count="3">
            <x v="2"/>
            <x v="3"/>
            <x v="4"/>
          </reference>
        </references>
      </pivotArea>
    </format>
    <format dxfId="197">
      <pivotArea dataOnly="0" labelOnly="1" outline="0" fieldPosition="0">
        <references count="5">
          <reference field="0" count="1" selected="0">
            <x v="2"/>
          </reference>
          <reference field="2" count="1" selected="0">
            <x v="1"/>
          </reference>
          <reference field="3" count="1" selected="0">
            <x v="0"/>
          </reference>
          <reference field="4" count="1" selected="0">
            <x v="6"/>
          </reference>
          <reference field="5" count="2">
            <x v="0"/>
            <x v="5"/>
          </reference>
        </references>
      </pivotArea>
    </format>
    <format dxfId="196">
      <pivotArea dataOnly="0" labelOnly="1" outline="0" fieldPosition="0">
        <references count="5">
          <reference field="0" count="1" selected="0">
            <x v="2"/>
          </reference>
          <reference field="2" count="1" selected="0">
            <x v="2"/>
          </reference>
          <reference field="3" count="1" selected="0">
            <x v="0"/>
          </reference>
          <reference field="4" count="1" selected="0">
            <x v="6"/>
          </reference>
          <reference field="5" count="1">
            <x v="0"/>
          </reference>
        </references>
      </pivotArea>
    </format>
    <format dxfId="195">
      <pivotArea dataOnly="0" labelOnly="1" outline="0" fieldPosition="0">
        <references count="5">
          <reference field="0" count="1" selected="0">
            <x v="0"/>
          </reference>
          <reference field="2" count="1" selected="0">
            <x v="5"/>
          </reference>
          <reference field="3" count="1" selected="0">
            <x v="0"/>
          </reference>
          <reference field="4" count="1" selected="0">
            <x v="5"/>
          </reference>
          <reference field="5" count="1">
            <x v="3"/>
          </reference>
        </references>
      </pivotArea>
    </format>
    <format dxfId="194">
      <pivotArea dataOnly="0" labelOnly="1" outline="0" fieldPosition="0">
        <references count="5">
          <reference field="0" count="1" selected="0">
            <x v="3"/>
          </reference>
          <reference field="2" count="1" selected="0">
            <x v="6"/>
          </reference>
          <reference field="3" count="1" selected="0">
            <x v="2"/>
          </reference>
          <reference field="4" count="1" selected="0">
            <x v="7"/>
          </reference>
          <reference field="5" count="1">
            <x v="0"/>
          </reference>
        </references>
      </pivotArea>
    </format>
    <format dxfId="193">
      <pivotArea dataOnly="0" labelOnly="1" outline="0" fieldPosition="0">
        <references count="6">
          <reference field="0" count="1" selected="0">
            <x v="0"/>
          </reference>
          <reference field="2" count="1" selected="0">
            <x v="0"/>
          </reference>
          <reference field="3" count="1" selected="0">
            <x v="0"/>
          </reference>
          <reference field="4" count="1" selected="0">
            <x v="6"/>
          </reference>
          <reference field="5" count="1" selected="0">
            <x v="3"/>
          </reference>
          <reference field="7" count="1">
            <x v="16"/>
          </reference>
        </references>
      </pivotArea>
    </format>
    <format dxfId="192">
      <pivotArea dataOnly="0" labelOnly="1" outline="0" fieldPosition="0">
        <references count="6">
          <reference field="0" count="1" selected="0">
            <x v="1"/>
          </reference>
          <reference field="2" count="1" selected="0">
            <x v="0"/>
          </reference>
          <reference field="3" count="1" selected="0">
            <x v="0"/>
          </reference>
          <reference field="4" count="1" selected="0">
            <x v="6"/>
          </reference>
          <reference field="5" count="1" selected="0">
            <x v="0"/>
          </reference>
          <reference field="7" count="1">
            <x v="10"/>
          </reference>
        </references>
      </pivotArea>
    </format>
    <format dxfId="191">
      <pivotArea dataOnly="0" labelOnly="1" outline="0" fieldPosition="0">
        <references count="6">
          <reference field="0" count="1" selected="0">
            <x v="2"/>
          </reference>
          <reference field="2" count="1" selected="0">
            <x v="0"/>
          </reference>
          <reference field="3" count="1" selected="0">
            <x v="0"/>
          </reference>
          <reference field="4" count="1" selected="0">
            <x v="0"/>
          </reference>
          <reference field="5" count="1" selected="0">
            <x v="1"/>
          </reference>
          <reference field="7" count="1">
            <x v="4"/>
          </reference>
        </references>
      </pivotArea>
    </format>
    <format dxfId="190">
      <pivotArea dataOnly="0" labelOnly="1" outline="0" fieldPosition="0">
        <references count="6">
          <reference field="0" count="1" selected="0">
            <x v="2"/>
          </reference>
          <reference field="2" count="1" selected="0">
            <x v="0"/>
          </reference>
          <reference field="3" count="1" selected="0">
            <x v="0"/>
          </reference>
          <reference field="4" count="1" selected="0">
            <x v="1"/>
          </reference>
          <reference field="5" count="1" selected="0">
            <x v="1"/>
          </reference>
          <reference field="7" count="1">
            <x v="7"/>
          </reference>
        </references>
      </pivotArea>
    </format>
    <format dxfId="189">
      <pivotArea dataOnly="0" labelOnly="1" outline="0" fieldPosition="0">
        <references count="6">
          <reference field="0" count="1" selected="0">
            <x v="2"/>
          </reference>
          <reference field="2" count="1" selected="0">
            <x v="0"/>
          </reference>
          <reference field="3" count="1" selected="0">
            <x v="0"/>
          </reference>
          <reference field="4" count="1" selected="0">
            <x v="2"/>
          </reference>
          <reference field="5" count="1" selected="0">
            <x v="2"/>
          </reference>
          <reference field="7" count="1">
            <x v="6"/>
          </reference>
        </references>
      </pivotArea>
    </format>
    <format dxfId="188">
      <pivotArea dataOnly="0" labelOnly="1" outline="0" fieldPosition="0">
        <references count="6">
          <reference field="0" count="1" selected="0">
            <x v="2"/>
          </reference>
          <reference field="2" count="1" selected="0">
            <x v="0"/>
          </reference>
          <reference field="3" count="1" selected="0">
            <x v="0"/>
          </reference>
          <reference field="4" count="1" selected="0">
            <x v="3"/>
          </reference>
          <reference field="5" count="1" selected="0">
            <x v="1"/>
          </reference>
          <reference field="7" count="1">
            <x v="5"/>
          </reference>
        </references>
      </pivotArea>
    </format>
    <format dxfId="187">
      <pivotArea dataOnly="0" labelOnly="1" outline="0" fieldPosition="0">
        <references count="6">
          <reference field="0" count="1" selected="0">
            <x v="2"/>
          </reference>
          <reference field="2" count="1" selected="0">
            <x v="0"/>
          </reference>
          <reference field="3" count="1" selected="0">
            <x v="0"/>
          </reference>
          <reference field="4" count="1" selected="0">
            <x v="4"/>
          </reference>
          <reference field="5" count="1" selected="0">
            <x v="1"/>
          </reference>
          <reference field="7" count="1">
            <x v="0"/>
          </reference>
        </references>
      </pivotArea>
    </format>
    <format dxfId="186">
      <pivotArea dataOnly="0" labelOnly="1" outline="0" fieldPosition="0">
        <references count="6">
          <reference field="0" count="1" selected="0">
            <x v="2"/>
          </reference>
          <reference field="2" count="1" selected="0">
            <x v="0"/>
          </reference>
          <reference field="3" count="1" selected="0">
            <x v="0"/>
          </reference>
          <reference field="4" count="1" selected="0">
            <x v="4"/>
          </reference>
          <reference field="5" count="1" selected="0">
            <x v="2"/>
          </reference>
          <reference field="7" count="1">
            <x v="3"/>
          </reference>
        </references>
      </pivotArea>
    </format>
    <format dxfId="185">
      <pivotArea dataOnly="0" labelOnly="1" outline="0" fieldPosition="0">
        <references count="6">
          <reference field="0" count="1" selected="0">
            <x v="2"/>
          </reference>
          <reference field="2" count="1" selected="0">
            <x v="0"/>
          </reference>
          <reference field="3" count="1" selected="0">
            <x v="0"/>
          </reference>
          <reference field="4" count="1" selected="0">
            <x v="4"/>
          </reference>
          <reference field="5" count="1" selected="0">
            <x v="3"/>
          </reference>
          <reference field="7" count="1">
            <x v="1"/>
          </reference>
        </references>
      </pivotArea>
    </format>
    <format dxfId="184">
      <pivotArea dataOnly="0" labelOnly="1" outline="0" fieldPosition="0">
        <references count="6">
          <reference field="0" count="1" selected="0">
            <x v="2"/>
          </reference>
          <reference field="2" count="1" selected="0">
            <x v="0"/>
          </reference>
          <reference field="3" count="1" selected="0">
            <x v="0"/>
          </reference>
          <reference field="4" count="1" selected="0">
            <x v="4"/>
          </reference>
          <reference field="5" count="1" selected="0">
            <x v="4"/>
          </reference>
          <reference field="7" count="1">
            <x v="2"/>
          </reference>
        </references>
      </pivotArea>
    </format>
    <format dxfId="183">
      <pivotArea dataOnly="0" labelOnly="1" outline="0" fieldPosition="0">
        <references count="6">
          <reference field="0" count="1" selected="0">
            <x v="2"/>
          </reference>
          <reference field="2" count="1" selected="0">
            <x v="1"/>
          </reference>
          <reference field="3" count="1" selected="0">
            <x v="0"/>
          </reference>
          <reference field="4" count="1" selected="0">
            <x v="6"/>
          </reference>
          <reference field="5" count="1" selected="0">
            <x v="0"/>
          </reference>
          <reference field="7" count="2">
            <x v="8"/>
            <x v="11"/>
          </reference>
        </references>
      </pivotArea>
    </format>
    <format dxfId="182">
      <pivotArea dataOnly="0" labelOnly="1" outline="0" fieldPosition="0">
        <references count="6">
          <reference field="0" count="1" selected="0">
            <x v="2"/>
          </reference>
          <reference field="2" count="1" selected="0">
            <x v="1"/>
          </reference>
          <reference field="3" count="1" selected="0">
            <x v="0"/>
          </reference>
          <reference field="4" count="1" selected="0">
            <x v="6"/>
          </reference>
          <reference field="5" count="1" selected="0">
            <x v="5"/>
          </reference>
          <reference field="7" count="1">
            <x v="17"/>
          </reference>
        </references>
      </pivotArea>
    </format>
    <format dxfId="181">
      <pivotArea dataOnly="0" labelOnly="1" outline="0" fieldPosition="0">
        <references count="6">
          <reference field="0" count="1" selected="0">
            <x v="2"/>
          </reference>
          <reference field="2" count="1" selected="0">
            <x v="2"/>
          </reference>
          <reference field="3" count="1" selected="0">
            <x v="0"/>
          </reference>
          <reference field="4" count="1" selected="0">
            <x v="6"/>
          </reference>
          <reference field="5" count="1" selected="0">
            <x v="0"/>
          </reference>
          <reference field="7" count="1">
            <x v="12"/>
          </reference>
        </references>
      </pivotArea>
    </format>
    <format dxfId="180">
      <pivotArea dataOnly="0" labelOnly="1" outline="0" fieldPosition="0">
        <references count="6">
          <reference field="0" count="1" selected="0">
            <x v="4"/>
          </reference>
          <reference field="2" count="1" selected="0">
            <x v="3"/>
          </reference>
          <reference field="3" count="1" selected="0">
            <x v="1"/>
          </reference>
          <reference field="4" count="1" selected="0">
            <x v="8"/>
          </reference>
          <reference field="5" count="1" selected="0">
            <x v="0"/>
          </reference>
          <reference field="7" count="1">
            <x v="14"/>
          </reference>
        </references>
      </pivotArea>
    </format>
    <format dxfId="179">
      <pivotArea dataOnly="0" labelOnly="1" outline="0" fieldPosition="0">
        <references count="6">
          <reference field="0" count="1" selected="0">
            <x v="1"/>
          </reference>
          <reference field="2" count="1" selected="0">
            <x v="4"/>
          </reference>
          <reference field="3" count="1" selected="0">
            <x v="0"/>
          </reference>
          <reference field="4" count="1" selected="0">
            <x v="5"/>
          </reference>
          <reference field="5" count="1" selected="0">
            <x v="0"/>
          </reference>
          <reference field="7" count="1">
            <x v="9"/>
          </reference>
        </references>
      </pivotArea>
    </format>
    <format dxfId="178">
      <pivotArea dataOnly="0" labelOnly="1" outline="0" fieldPosition="0">
        <references count="6">
          <reference field="0" count="1" selected="0">
            <x v="0"/>
          </reference>
          <reference field="2" count="1" selected="0">
            <x v="5"/>
          </reference>
          <reference field="3" count="1" selected="0">
            <x v="0"/>
          </reference>
          <reference field="4" count="1" selected="0">
            <x v="5"/>
          </reference>
          <reference field="5" count="1" selected="0">
            <x v="3"/>
          </reference>
          <reference field="7" count="1">
            <x v="11"/>
          </reference>
        </references>
      </pivotArea>
    </format>
    <format dxfId="177">
      <pivotArea dataOnly="0" labelOnly="1" outline="0" fieldPosition="0">
        <references count="6">
          <reference field="0" count="1" selected="0">
            <x v="3"/>
          </reference>
          <reference field="2" count="1" selected="0">
            <x v="6"/>
          </reference>
          <reference field="3" count="1" selected="0">
            <x v="2"/>
          </reference>
          <reference field="4" count="1" selected="0">
            <x v="7"/>
          </reference>
          <reference field="5" count="1" selected="0">
            <x v="0"/>
          </reference>
          <reference field="7" count="1">
            <x v="13"/>
          </reference>
        </references>
      </pivotArea>
    </format>
    <format dxfId="176">
      <pivotArea dataOnly="0" labelOnly="1" outline="0" fieldPosition="0">
        <references count="6">
          <reference field="0" count="1" selected="0">
            <x v="5"/>
          </reference>
          <reference field="2" count="1" selected="0">
            <x v="7"/>
          </reference>
          <reference field="3" count="1" selected="0">
            <x v="3"/>
          </reference>
          <reference field="4" count="1" selected="0">
            <x v="9"/>
          </reference>
          <reference field="5" count="1" selected="0">
            <x v="0"/>
          </reference>
          <reference field="7" count="1">
            <x v="15"/>
          </reference>
        </references>
      </pivotArea>
    </format>
    <format dxfId="175">
      <pivotArea dataOnly="0" labelOnly="1" outline="0" fieldPosition="0">
        <references count="7">
          <reference field="0" count="1" selected="0">
            <x v="0"/>
          </reference>
          <reference field="2" count="1" selected="0">
            <x v="0"/>
          </reference>
          <reference field="3" count="1" selected="0">
            <x v="0"/>
          </reference>
          <reference field="4" count="1" selected="0">
            <x v="6"/>
          </reference>
          <reference field="5" count="1" selected="0">
            <x v="3"/>
          </reference>
          <reference field="7" count="1" selected="0">
            <x v="16"/>
          </reference>
          <reference field="8" count="1">
            <x v="16"/>
          </reference>
        </references>
      </pivotArea>
    </format>
    <format dxfId="174">
      <pivotArea dataOnly="0" labelOnly="1" outline="0" fieldPosition="0">
        <references count="7">
          <reference field="0" count="1" selected="0">
            <x v="1"/>
          </reference>
          <reference field="2" count="1" selected="0">
            <x v="0"/>
          </reference>
          <reference field="3" count="1" selected="0">
            <x v="0"/>
          </reference>
          <reference field="4" count="1" selected="0">
            <x v="6"/>
          </reference>
          <reference field="5" count="1" selected="0">
            <x v="0"/>
          </reference>
          <reference field="7" count="1" selected="0">
            <x v="10"/>
          </reference>
          <reference field="8" count="1">
            <x v="10"/>
          </reference>
        </references>
      </pivotArea>
    </format>
    <format dxfId="173">
      <pivotArea dataOnly="0" labelOnly="1" outline="0" fieldPosition="0">
        <references count="7">
          <reference field="0" count="1" selected="0">
            <x v="2"/>
          </reference>
          <reference field="2" count="1" selected="0">
            <x v="0"/>
          </reference>
          <reference field="3" count="1" selected="0">
            <x v="0"/>
          </reference>
          <reference field="4" count="1" selected="0">
            <x v="0"/>
          </reference>
          <reference field="5" count="1" selected="0">
            <x v="1"/>
          </reference>
          <reference field="7" count="1" selected="0">
            <x v="4"/>
          </reference>
          <reference field="8" count="1">
            <x v="4"/>
          </reference>
        </references>
      </pivotArea>
    </format>
    <format dxfId="172">
      <pivotArea dataOnly="0" labelOnly="1" outline="0" fieldPosition="0">
        <references count="7">
          <reference field="0" count="1" selected="0">
            <x v="2"/>
          </reference>
          <reference field="2" count="1" selected="0">
            <x v="0"/>
          </reference>
          <reference field="3" count="1" selected="0">
            <x v="0"/>
          </reference>
          <reference field="4" count="1" selected="0">
            <x v="1"/>
          </reference>
          <reference field="5" count="1" selected="0">
            <x v="1"/>
          </reference>
          <reference field="7" count="1" selected="0">
            <x v="7"/>
          </reference>
          <reference field="8" count="1">
            <x v="7"/>
          </reference>
        </references>
      </pivotArea>
    </format>
    <format dxfId="171">
      <pivotArea dataOnly="0" labelOnly="1" outline="0" fieldPosition="0">
        <references count="7">
          <reference field="0" count="1" selected="0">
            <x v="2"/>
          </reference>
          <reference field="2" count="1" selected="0">
            <x v="0"/>
          </reference>
          <reference field="3" count="1" selected="0">
            <x v="0"/>
          </reference>
          <reference field="4" count="1" selected="0">
            <x v="2"/>
          </reference>
          <reference field="5" count="1" selected="0">
            <x v="2"/>
          </reference>
          <reference field="7" count="1" selected="0">
            <x v="6"/>
          </reference>
          <reference field="8" count="1">
            <x v="6"/>
          </reference>
        </references>
      </pivotArea>
    </format>
    <format dxfId="170">
      <pivotArea dataOnly="0" labelOnly="1" outline="0" fieldPosition="0">
        <references count="7">
          <reference field="0" count="1" selected="0">
            <x v="2"/>
          </reference>
          <reference field="2" count="1" selected="0">
            <x v="0"/>
          </reference>
          <reference field="3" count="1" selected="0">
            <x v="0"/>
          </reference>
          <reference field="4" count="1" selected="0">
            <x v="3"/>
          </reference>
          <reference field="5" count="1" selected="0">
            <x v="1"/>
          </reference>
          <reference field="7" count="1" selected="0">
            <x v="5"/>
          </reference>
          <reference field="8" count="1">
            <x v="5"/>
          </reference>
        </references>
      </pivotArea>
    </format>
    <format dxfId="169">
      <pivotArea dataOnly="0" labelOnly="1" outline="0" fieldPosition="0">
        <references count="7">
          <reference field="0" count="1" selected="0">
            <x v="2"/>
          </reference>
          <reference field="2" count="1" selected="0">
            <x v="0"/>
          </reference>
          <reference field="3" count="1" selected="0">
            <x v="0"/>
          </reference>
          <reference field="4" count="1" selected="0">
            <x v="4"/>
          </reference>
          <reference field="5" count="1" selected="0">
            <x v="1"/>
          </reference>
          <reference field="7" count="1" selected="0">
            <x v="0"/>
          </reference>
          <reference field="8" count="1">
            <x v="0"/>
          </reference>
        </references>
      </pivotArea>
    </format>
    <format dxfId="168">
      <pivotArea dataOnly="0" labelOnly="1" outline="0" fieldPosition="0">
        <references count="7">
          <reference field="0" count="1" selected="0">
            <x v="2"/>
          </reference>
          <reference field="2" count="1" selected="0">
            <x v="0"/>
          </reference>
          <reference field="3" count="1" selected="0">
            <x v="0"/>
          </reference>
          <reference field="4" count="1" selected="0">
            <x v="4"/>
          </reference>
          <reference field="5" count="1" selected="0">
            <x v="2"/>
          </reference>
          <reference field="7" count="1" selected="0">
            <x v="3"/>
          </reference>
          <reference field="8" count="1">
            <x v="3"/>
          </reference>
        </references>
      </pivotArea>
    </format>
    <format dxfId="167">
      <pivotArea dataOnly="0" labelOnly="1" outline="0" fieldPosition="0">
        <references count="7">
          <reference field="0" count="1" selected="0">
            <x v="2"/>
          </reference>
          <reference field="2" count="1" selected="0">
            <x v="0"/>
          </reference>
          <reference field="3" count="1" selected="0">
            <x v="0"/>
          </reference>
          <reference field="4" count="1" selected="0">
            <x v="4"/>
          </reference>
          <reference field="5" count="1" selected="0">
            <x v="3"/>
          </reference>
          <reference field="7" count="1" selected="0">
            <x v="1"/>
          </reference>
          <reference field="8" count="1">
            <x v="1"/>
          </reference>
        </references>
      </pivotArea>
    </format>
    <format dxfId="166">
      <pivotArea dataOnly="0" labelOnly="1" outline="0" fieldPosition="0">
        <references count="7">
          <reference field="0" count="1" selected="0">
            <x v="2"/>
          </reference>
          <reference field="2" count="1" selected="0">
            <x v="0"/>
          </reference>
          <reference field="3" count="1" selected="0">
            <x v="0"/>
          </reference>
          <reference field="4" count="1" selected="0">
            <x v="4"/>
          </reference>
          <reference field="5" count="1" selected="0">
            <x v="4"/>
          </reference>
          <reference field="7" count="1" selected="0">
            <x v="2"/>
          </reference>
          <reference field="8" count="1">
            <x v="2"/>
          </reference>
        </references>
      </pivotArea>
    </format>
    <format dxfId="165">
      <pivotArea dataOnly="0" labelOnly="1" outline="0" fieldPosition="0">
        <references count="7">
          <reference field="0" count="1" selected="0">
            <x v="2"/>
          </reference>
          <reference field="2" count="1" selected="0">
            <x v="1"/>
          </reference>
          <reference field="3" count="1" selected="0">
            <x v="0"/>
          </reference>
          <reference field="4" count="1" selected="0">
            <x v="6"/>
          </reference>
          <reference field="5" count="1" selected="0">
            <x v="0"/>
          </reference>
          <reference field="7" count="1" selected="0">
            <x v="8"/>
          </reference>
          <reference field="8" count="1">
            <x v="8"/>
          </reference>
        </references>
      </pivotArea>
    </format>
    <format dxfId="164">
      <pivotArea dataOnly="0" labelOnly="1" outline="0" fieldPosition="0">
        <references count="7">
          <reference field="0" count="1" selected="0">
            <x v="2"/>
          </reference>
          <reference field="2" count="1" selected="0">
            <x v="1"/>
          </reference>
          <reference field="3" count="1" selected="0">
            <x v="0"/>
          </reference>
          <reference field="4" count="1" selected="0">
            <x v="6"/>
          </reference>
          <reference field="5" count="1" selected="0">
            <x v="0"/>
          </reference>
          <reference field="7" count="1" selected="0">
            <x v="11"/>
          </reference>
          <reference field="8" count="1">
            <x v="11"/>
          </reference>
        </references>
      </pivotArea>
    </format>
    <format dxfId="163">
      <pivotArea dataOnly="0" labelOnly="1" outline="0" fieldPosition="0">
        <references count="7">
          <reference field="0" count="1" selected="0">
            <x v="2"/>
          </reference>
          <reference field="2" count="1" selected="0">
            <x v="1"/>
          </reference>
          <reference field="3" count="1" selected="0">
            <x v="0"/>
          </reference>
          <reference field="4" count="1" selected="0">
            <x v="6"/>
          </reference>
          <reference field="5" count="1" selected="0">
            <x v="5"/>
          </reference>
          <reference field="7" count="1" selected="0">
            <x v="17"/>
          </reference>
          <reference field="8" count="1">
            <x v="17"/>
          </reference>
        </references>
      </pivotArea>
    </format>
    <format dxfId="162">
      <pivotArea dataOnly="0" labelOnly="1" outline="0" fieldPosition="0">
        <references count="7">
          <reference field="0" count="1" selected="0">
            <x v="4"/>
          </reference>
          <reference field="2" count="1" selected="0">
            <x v="3"/>
          </reference>
          <reference field="3" count="1" selected="0">
            <x v="1"/>
          </reference>
          <reference field="4" count="1" selected="0">
            <x v="8"/>
          </reference>
          <reference field="5" count="1" selected="0">
            <x v="0"/>
          </reference>
          <reference field="7" count="1" selected="0">
            <x v="14"/>
          </reference>
          <reference field="8" count="1">
            <x v="15"/>
          </reference>
        </references>
      </pivotArea>
    </format>
    <format dxfId="161">
      <pivotArea dataOnly="0" labelOnly="1" outline="0" fieldPosition="0">
        <references count="7">
          <reference field="0" count="1" selected="0">
            <x v="1"/>
          </reference>
          <reference field="2" count="1" selected="0">
            <x v="4"/>
          </reference>
          <reference field="3" count="1" selected="0">
            <x v="0"/>
          </reference>
          <reference field="4" count="1" selected="0">
            <x v="5"/>
          </reference>
          <reference field="5" count="1" selected="0">
            <x v="0"/>
          </reference>
          <reference field="7" count="1" selected="0">
            <x v="9"/>
          </reference>
          <reference field="8" count="1">
            <x v="9"/>
          </reference>
        </references>
      </pivotArea>
    </format>
    <format dxfId="160">
      <pivotArea dataOnly="0" labelOnly="1" outline="0" fieldPosition="0">
        <references count="7">
          <reference field="0" count="1" selected="0">
            <x v="0"/>
          </reference>
          <reference field="2" count="1" selected="0">
            <x v="5"/>
          </reference>
          <reference field="3" count="1" selected="0">
            <x v="0"/>
          </reference>
          <reference field="4" count="1" selected="0">
            <x v="5"/>
          </reference>
          <reference field="5" count="1" selected="0">
            <x v="3"/>
          </reference>
          <reference field="7" count="1" selected="0">
            <x v="11"/>
          </reference>
          <reference field="8" count="1">
            <x v="12"/>
          </reference>
        </references>
      </pivotArea>
    </format>
    <format dxfId="159">
      <pivotArea dataOnly="0" labelOnly="1" outline="0" fieldPosition="0">
        <references count="7">
          <reference field="0" count="1" selected="0">
            <x v="3"/>
          </reference>
          <reference field="2" count="1" selected="0">
            <x v="6"/>
          </reference>
          <reference field="3" count="1" selected="0">
            <x v="2"/>
          </reference>
          <reference field="4" count="1" selected="0">
            <x v="7"/>
          </reference>
          <reference field="5" count="1" selected="0">
            <x v="0"/>
          </reference>
          <reference field="7" count="1" selected="0">
            <x v="13"/>
          </reference>
          <reference field="8" count="1">
            <x v="14"/>
          </reference>
        </references>
      </pivotArea>
    </format>
    <format dxfId="158">
      <pivotArea dataOnly="0" labelOnly="1" outline="0" fieldPosition="0">
        <references count="7">
          <reference field="0" count="1" selected="0">
            <x v="5"/>
          </reference>
          <reference field="2" count="1" selected="0">
            <x v="7"/>
          </reference>
          <reference field="3" count="1" selected="0">
            <x v="3"/>
          </reference>
          <reference field="4" count="1" selected="0">
            <x v="9"/>
          </reference>
          <reference field="5" count="1" selected="0">
            <x v="0"/>
          </reference>
          <reference field="7" count="1" selected="0">
            <x v="15"/>
          </reference>
          <reference field="8" count="1">
            <x v="13"/>
          </reference>
        </references>
      </pivotArea>
    </format>
    <format dxfId="157">
      <pivotArea dataOnly="0" labelOnly="1" outline="0" fieldPosition="0">
        <references count="8">
          <reference field="0" count="1" selected="0">
            <x v="0"/>
          </reference>
          <reference field="2" count="1" selected="0">
            <x v="0"/>
          </reference>
          <reference field="3" count="1" selected="0">
            <x v="0"/>
          </reference>
          <reference field="4" count="1" selected="0">
            <x v="6"/>
          </reference>
          <reference field="5" count="1" selected="0">
            <x v="3"/>
          </reference>
          <reference field="7" count="1" selected="0">
            <x v="16"/>
          </reference>
          <reference field="8" count="1" selected="0">
            <x v="16"/>
          </reference>
          <reference field="9" count="1">
            <x v="7"/>
          </reference>
        </references>
      </pivotArea>
    </format>
    <format dxfId="156">
      <pivotArea dataOnly="0" labelOnly="1" outline="0" fieldPosition="0">
        <references count="8">
          <reference field="0" count="1" selected="0">
            <x v="2"/>
          </reference>
          <reference field="2" count="1" selected="0">
            <x v="0"/>
          </reference>
          <reference field="3" count="1" selected="0">
            <x v="0"/>
          </reference>
          <reference field="4" count="1" selected="0">
            <x v="1"/>
          </reference>
          <reference field="5" count="1" selected="0">
            <x v="1"/>
          </reference>
          <reference field="7" count="1" selected="0">
            <x v="7"/>
          </reference>
          <reference field="8" count="1" selected="0">
            <x v="7"/>
          </reference>
          <reference field="9" count="1">
            <x v="1"/>
          </reference>
        </references>
      </pivotArea>
    </format>
    <format dxfId="155">
      <pivotArea dataOnly="0" labelOnly="1" outline="0" fieldPosition="0">
        <references count="8">
          <reference field="0" count="1" selected="0">
            <x v="2"/>
          </reference>
          <reference field="2" count="1" selected="0">
            <x v="0"/>
          </reference>
          <reference field="3" count="1" selected="0">
            <x v="0"/>
          </reference>
          <reference field="4" count="1" selected="0">
            <x v="3"/>
          </reference>
          <reference field="5" count="1" selected="0">
            <x v="1"/>
          </reference>
          <reference field="7" count="1" selected="0">
            <x v="5"/>
          </reference>
          <reference field="8" count="1" selected="0">
            <x v="5"/>
          </reference>
          <reference field="9" count="1">
            <x v="3"/>
          </reference>
        </references>
      </pivotArea>
    </format>
    <format dxfId="154">
      <pivotArea dataOnly="0" labelOnly="1" outline="0" fieldPosition="0">
        <references count="8">
          <reference field="0" count="1" selected="0">
            <x v="2"/>
          </reference>
          <reference field="2" count="1" selected="0">
            <x v="0"/>
          </reference>
          <reference field="3" count="1" selected="0">
            <x v="0"/>
          </reference>
          <reference field="4" count="1" selected="0">
            <x v="4"/>
          </reference>
          <reference field="5" count="1" selected="0">
            <x v="1"/>
          </reference>
          <reference field="7" count="1" selected="0">
            <x v="0"/>
          </reference>
          <reference field="8" count="1" selected="0">
            <x v="0"/>
          </reference>
          <reference field="9" count="1">
            <x v="7"/>
          </reference>
        </references>
      </pivotArea>
    </format>
    <format dxfId="153">
      <pivotArea dataOnly="0" labelOnly="1" outline="0" fieldPosition="0">
        <references count="8">
          <reference field="0" count="1" selected="0">
            <x v="2"/>
          </reference>
          <reference field="2" count="1" selected="0">
            <x v="0"/>
          </reference>
          <reference field="3" count="1" selected="0">
            <x v="0"/>
          </reference>
          <reference field="4" count="1" selected="0">
            <x v="4"/>
          </reference>
          <reference field="5" count="1" selected="0">
            <x v="2"/>
          </reference>
          <reference field="7" count="1" selected="0">
            <x v="3"/>
          </reference>
          <reference field="8" count="1" selected="0">
            <x v="3"/>
          </reference>
          <reference field="9" count="1">
            <x v="1"/>
          </reference>
        </references>
      </pivotArea>
    </format>
    <format dxfId="152">
      <pivotArea dataOnly="0" labelOnly="1" outline="0" fieldPosition="0">
        <references count="8">
          <reference field="0" count="1" selected="0">
            <x v="2"/>
          </reference>
          <reference field="2" count="1" selected="0">
            <x v="0"/>
          </reference>
          <reference field="3" count="1" selected="0">
            <x v="0"/>
          </reference>
          <reference field="4" count="1" selected="0">
            <x v="4"/>
          </reference>
          <reference field="5" count="1" selected="0">
            <x v="3"/>
          </reference>
          <reference field="7" count="1" selected="0">
            <x v="1"/>
          </reference>
          <reference field="8" count="1" selected="0">
            <x v="1"/>
          </reference>
          <reference field="9" count="1">
            <x v="5"/>
          </reference>
        </references>
      </pivotArea>
    </format>
    <format dxfId="151">
      <pivotArea dataOnly="0" labelOnly="1" outline="0" fieldPosition="0">
        <references count="8">
          <reference field="0" count="1" selected="0">
            <x v="2"/>
          </reference>
          <reference field="2" count="1" selected="0">
            <x v="0"/>
          </reference>
          <reference field="3" count="1" selected="0">
            <x v="0"/>
          </reference>
          <reference field="4" count="1" selected="0">
            <x v="4"/>
          </reference>
          <reference field="5" count="1" selected="0">
            <x v="4"/>
          </reference>
          <reference field="7" count="1" selected="0">
            <x v="2"/>
          </reference>
          <reference field="8" count="1" selected="0">
            <x v="2"/>
          </reference>
          <reference field="9" count="1">
            <x v="7"/>
          </reference>
        </references>
      </pivotArea>
    </format>
    <format dxfId="150">
      <pivotArea dataOnly="0" labelOnly="1" outline="0" fieldPosition="0">
        <references count="8">
          <reference field="0" count="1" selected="0">
            <x v="2"/>
          </reference>
          <reference field="2" count="1" selected="0">
            <x v="1"/>
          </reference>
          <reference field="3" count="1" selected="0">
            <x v="0"/>
          </reference>
          <reference field="4" count="1" selected="0">
            <x v="6"/>
          </reference>
          <reference field="5" count="1" selected="0">
            <x v="0"/>
          </reference>
          <reference field="7" count="1" selected="0">
            <x v="8"/>
          </reference>
          <reference field="8" count="1" selected="0">
            <x v="8"/>
          </reference>
          <reference field="9" count="1">
            <x v="2"/>
          </reference>
        </references>
      </pivotArea>
    </format>
    <format dxfId="149">
      <pivotArea dataOnly="0" labelOnly="1" outline="0" fieldPosition="0">
        <references count="8">
          <reference field="0" count="1" selected="0">
            <x v="2"/>
          </reference>
          <reference field="2" count="1" selected="0">
            <x v="1"/>
          </reference>
          <reference field="3" count="1" selected="0">
            <x v="0"/>
          </reference>
          <reference field="4" count="1" selected="0">
            <x v="6"/>
          </reference>
          <reference field="5" count="1" selected="0">
            <x v="0"/>
          </reference>
          <reference field="7" count="1" selected="0">
            <x v="11"/>
          </reference>
          <reference field="8" count="1" selected="0">
            <x v="11"/>
          </reference>
          <reference field="9" count="1">
            <x v="4"/>
          </reference>
        </references>
      </pivotArea>
    </format>
    <format dxfId="148">
      <pivotArea dataOnly="0" labelOnly="1" outline="0" fieldPosition="0">
        <references count="8">
          <reference field="0" count="1" selected="0">
            <x v="2"/>
          </reference>
          <reference field="2" count="1" selected="0">
            <x v="1"/>
          </reference>
          <reference field="3" count="1" selected="0">
            <x v="0"/>
          </reference>
          <reference field="4" count="1" selected="0">
            <x v="6"/>
          </reference>
          <reference field="5" count="1" selected="0">
            <x v="5"/>
          </reference>
          <reference field="7" count="1" selected="0">
            <x v="17"/>
          </reference>
          <reference field="8" count="1" selected="0">
            <x v="17"/>
          </reference>
          <reference field="9" count="1">
            <x v="0"/>
          </reference>
        </references>
      </pivotArea>
    </format>
    <format dxfId="147">
      <pivotArea dataOnly="0" labelOnly="1" outline="0" fieldPosition="0">
        <references count="8">
          <reference field="0" count="1" selected="0">
            <x v="2"/>
          </reference>
          <reference field="2" count="1" selected="0">
            <x v="2"/>
          </reference>
          <reference field="3" count="1" selected="0">
            <x v="0"/>
          </reference>
          <reference field="4" count="1" selected="0">
            <x v="6"/>
          </reference>
          <reference field="5" count="1" selected="0">
            <x v="0"/>
          </reference>
          <reference field="7" count="1" selected="0">
            <x v="12"/>
          </reference>
          <reference field="8" count="1" selected="0">
            <x v="17"/>
          </reference>
          <reference field="9" count="1">
            <x v="6"/>
          </reference>
        </references>
      </pivotArea>
    </format>
    <format dxfId="146">
      <pivotArea dataOnly="0" labelOnly="1" outline="0" fieldPosition="0">
        <references count="8">
          <reference field="0" count="1" selected="0">
            <x v="4"/>
          </reference>
          <reference field="2" count="1" selected="0">
            <x v="3"/>
          </reference>
          <reference field="3" count="1" selected="0">
            <x v="1"/>
          </reference>
          <reference field="4" count="1" selected="0">
            <x v="8"/>
          </reference>
          <reference field="5" count="1" selected="0">
            <x v="0"/>
          </reference>
          <reference field="7" count="1" selected="0">
            <x v="14"/>
          </reference>
          <reference field="8" count="1" selected="0">
            <x v="15"/>
          </reference>
          <reference field="9" count="1">
            <x v="1"/>
          </reference>
        </references>
      </pivotArea>
    </format>
    <format dxfId="145">
      <pivotArea dataOnly="0" labelOnly="1" outline="0" fieldPosition="0">
        <references count="8">
          <reference field="0" count="1" selected="0">
            <x v="1"/>
          </reference>
          <reference field="2" count="1" selected="0">
            <x v="4"/>
          </reference>
          <reference field="3" count="1" selected="0">
            <x v="0"/>
          </reference>
          <reference field="4" count="1" selected="0">
            <x v="5"/>
          </reference>
          <reference field="5" count="1" selected="0">
            <x v="0"/>
          </reference>
          <reference field="7" count="1" selected="0">
            <x v="9"/>
          </reference>
          <reference field="8" count="1" selected="0">
            <x v="9"/>
          </reference>
          <reference field="9" count="1">
            <x v="5"/>
          </reference>
        </references>
      </pivotArea>
    </format>
    <format dxfId="144">
      <pivotArea dataOnly="0" labelOnly="1" outline="0" fieldPosition="0">
        <references count="8">
          <reference field="0" count="1" selected="0">
            <x v="0"/>
          </reference>
          <reference field="2" count="1" selected="0">
            <x v="5"/>
          </reference>
          <reference field="3" count="1" selected="0">
            <x v="0"/>
          </reference>
          <reference field="4" count="1" selected="0">
            <x v="5"/>
          </reference>
          <reference field="5" count="1" selected="0">
            <x v="3"/>
          </reference>
          <reference field="7" count="1" selected="0">
            <x v="11"/>
          </reference>
          <reference field="8" count="1" selected="0">
            <x v="12"/>
          </reference>
          <reference field="9" count="1">
            <x v="2"/>
          </reference>
        </references>
      </pivotArea>
    </format>
    <format dxfId="143">
      <pivotArea dataOnly="0" labelOnly="1" outline="0" fieldPosition="0">
        <references count="8">
          <reference field="0" count="1" selected="0">
            <x v="3"/>
          </reference>
          <reference field="2" count="1" selected="0">
            <x v="6"/>
          </reference>
          <reference field="3" count="1" selected="0">
            <x v="2"/>
          </reference>
          <reference field="4" count="1" selected="0">
            <x v="7"/>
          </reference>
          <reference field="5" count="1" selected="0">
            <x v="0"/>
          </reference>
          <reference field="7" count="1" selected="0">
            <x v="13"/>
          </reference>
          <reference field="8" count="1" selected="0">
            <x v="14"/>
          </reference>
          <reference field="9" count="1">
            <x v="7"/>
          </reference>
        </references>
      </pivotArea>
    </format>
    <format dxfId="142">
      <pivotArea dataOnly="0" labelOnly="1" outline="0" fieldPosition="0">
        <references count="8">
          <reference field="0" count="1" selected="0">
            <x v="5"/>
          </reference>
          <reference field="2" count="1" selected="0">
            <x v="7"/>
          </reference>
          <reference field="3" count="1" selected="0">
            <x v="3"/>
          </reference>
          <reference field="4" count="1" selected="0">
            <x v="9"/>
          </reference>
          <reference field="5" count="1" selected="0">
            <x v="0"/>
          </reference>
          <reference field="7" count="1" selected="0">
            <x v="15"/>
          </reference>
          <reference field="8" count="1" selected="0">
            <x v="13"/>
          </reference>
          <reference field="9" count="1">
            <x v="4"/>
          </reference>
        </references>
      </pivotArea>
    </format>
    <format dxfId="141">
      <pivotArea dataOnly="0" labelOnly="1" outline="0" fieldPosition="0">
        <references count="9">
          <reference field="0" count="1" selected="0">
            <x v="0"/>
          </reference>
          <reference field="2" count="1" selected="0">
            <x v="0"/>
          </reference>
          <reference field="3" count="1" selected="0">
            <x v="0"/>
          </reference>
          <reference field="4" count="1" selected="0">
            <x v="6"/>
          </reference>
          <reference field="5" count="1" selected="0">
            <x v="3"/>
          </reference>
          <reference field="7" count="1" selected="0">
            <x v="16"/>
          </reference>
          <reference field="8" count="1" selected="0">
            <x v="16"/>
          </reference>
          <reference field="9" count="1" selected="0">
            <x v="7"/>
          </reference>
          <reference field="15" count="1">
            <x v="8"/>
          </reference>
        </references>
      </pivotArea>
    </format>
    <format dxfId="140">
      <pivotArea dataOnly="0" labelOnly="1" outline="0" fieldPosition="0">
        <references count="9">
          <reference field="0" count="1" selected="0">
            <x v="1"/>
          </reference>
          <reference field="2" count="1" selected="0">
            <x v="0"/>
          </reference>
          <reference field="3" count="1" selected="0">
            <x v="0"/>
          </reference>
          <reference field="4" count="1" selected="0">
            <x v="6"/>
          </reference>
          <reference field="5" count="1" selected="0">
            <x v="0"/>
          </reference>
          <reference field="7" count="1" selected="0">
            <x v="10"/>
          </reference>
          <reference field="8" count="1" selected="0">
            <x v="10"/>
          </reference>
          <reference field="9" count="1" selected="0">
            <x v="7"/>
          </reference>
          <reference field="15" count="1">
            <x v="7"/>
          </reference>
        </references>
      </pivotArea>
    </format>
    <format dxfId="139">
      <pivotArea dataOnly="0" labelOnly="1" outline="0" fieldPosition="0">
        <references count="9">
          <reference field="0" count="1" selected="0">
            <x v="2"/>
          </reference>
          <reference field="2" count="1" selected="0">
            <x v="0"/>
          </reference>
          <reference field="3" count="1" selected="0">
            <x v="0"/>
          </reference>
          <reference field="4" count="1" selected="0">
            <x v="0"/>
          </reference>
          <reference field="5" count="1" selected="0">
            <x v="1"/>
          </reference>
          <reference field="7" count="1" selected="0">
            <x v="4"/>
          </reference>
          <reference field="8" count="1" selected="0">
            <x v="4"/>
          </reference>
          <reference field="9" count="1" selected="0">
            <x v="7"/>
          </reference>
          <reference field="15" count="1">
            <x v="8"/>
          </reference>
        </references>
      </pivotArea>
    </format>
    <format dxfId="138">
      <pivotArea dataOnly="0" labelOnly="1" outline="0" fieldPosition="0">
        <references count="9">
          <reference field="0" count="1" selected="0">
            <x v="2"/>
          </reference>
          <reference field="2" count="1" selected="0">
            <x v="0"/>
          </reference>
          <reference field="3" count="1" selected="0">
            <x v="0"/>
          </reference>
          <reference field="4" count="1" selected="0">
            <x v="1"/>
          </reference>
          <reference field="5" count="1" selected="0">
            <x v="1"/>
          </reference>
          <reference field="7" count="1" selected="0">
            <x v="7"/>
          </reference>
          <reference field="8" count="1" selected="0">
            <x v="7"/>
          </reference>
          <reference field="9" count="1" selected="0">
            <x v="1"/>
          </reference>
          <reference field="15" count="1">
            <x v="4"/>
          </reference>
        </references>
      </pivotArea>
    </format>
    <format dxfId="137">
      <pivotArea dataOnly="0" labelOnly="1" outline="0" fieldPosition="0">
        <references count="9">
          <reference field="0" count="1" selected="0">
            <x v="2"/>
          </reference>
          <reference field="2" count="1" selected="0">
            <x v="0"/>
          </reference>
          <reference field="3" count="1" selected="0">
            <x v="0"/>
          </reference>
          <reference field="4" count="1" selected="0">
            <x v="2"/>
          </reference>
          <reference field="5" count="1" selected="0">
            <x v="2"/>
          </reference>
          <reference field="7" count="1" selected="0">
            <x v="6"/>
          </reference>
          <reference field="8" count="1" selected="0">
            <x v="6"/>
          </reference>
          <reference field="9" count="1" selected="0">
            <x v="1"/>
          </reference>
          <reference field="15" count="2">
            <x v="3"/>
            <x v="8"/>
          </reference>
        </references>
      </pivotArea>
    </format>
    <format dxfId="136">
      <pivotArea dataOnly="0" labelOnly="1" outline="0" fieldPosition="0">
        <references count="9">
          <reference field="0" count="1" selected="0">
            <x v="2"/>
          </reference>
          <reference field="2" count="1" selected="0">
            <x v="0"/>
          </reference>
          <reference field="3" count="1" selected="0">
            <x v="0"/>
          </reference>
          <reference field="4" count="1" selected="0">
            <x v="3"/>
          </reference>
          <reference field="5" count="1" selected="0">
            <x v="1"/>
          </reference>
          <reference field="7" count="1" selected="0">
            <x v="5"/>
          </reference>
          <reference field="8" count="1" selected="0">
            <x v="5"/>
          </reference>
          <reference field="9" count="1" selected="0">
            <x v="3"/>
          </reference>
          <reference field="15" count="1">
            <x v="2"/>
          </reference>
        </references>
      </pivotArea>
    </format>
    <format dxfId="135">
      <pivotArea dataOnly="0" labelOnly="1" outline="0" fieldPosition="0">
        <references count="9">
          <reference field="0" count="1" selected="0">
            <x v="2"/>
          </reference>
          <reference field="2" count="1" selected="0">
            <x v="0"/>
          </reference>
          <reference field="3" count="1" selected="0">
            <x v="0"/>
          </reference>
          <reference field="4" count="1" selected="0">
            <x v="4"/>
          </reference>
          <reference field="5" count="1" selected="0">
            <x v="1"/>
          </reference>
          <reference field="7" count="1" selected="0">
            <x v="0"/>
          </reference>
          <reference field="8" count="1" selected="0">
            <x v="0"/>
          </reference>
          <reference field="9" count="1" selected="0">
            <x v="7"/>
          </reference>
          <reference field="15" count="1">
            <x v="0"/>
          </reference>
        </references>
      </pivotArea>
    </format>
    <format dxfId="134">
      <pivotArea dataOnly="0" labelOnly="1" outline="0" fieldPosition="0">
        <references count="9">
          <reference field="0" count="1" selected="0">
            <x v="2"/>
          </reference>
          <reference field="2" count="1" selected="0">
            <x v="0"/>
          </reference>
          <reference field="3" count="1" selected="0">
            <x v="0"/>
          </reference>
          <reference field="4" count="1" selected="0">
            <x v="4"/>
          </reference>
          <reference field="5" count="1" selected="0">
            <x v="2"/>
          </reference>
          <reference field="7" count="1" selected="0">
            <x v="3"/>
          </reference>
          <reference field="8" count="1" selected="0">
            <x v="3"/>
          </reference>
          <reference field="9" count="1" selected="0">
            <x v="1"/>
          </reference>
          <reference field="15" count="1">
            <x v="1"/>
          </reference>
        </references>
      </pivotArea>
    </format>
    <format dxfId="133">
      <pivotArea dataOnly="0" labelOnly="1" outline="0" fieldPosition="0">
        <references count="9">
          <reference field="0" count="1" selected="0">
            <x v="2"/>
          </reference>
          <reference field="2" count="1" selected="0">
            <x v="0"/>
          </reference>
          <reference field="3" count="1" selected="0">
            <x v="0"/>
          </reference>
          <reference field="4" count="1" selected="0">
            <x v="4"/>
          </reference>
          <reference field="5" count="1" selected="0">
            <x v="3"/>
          </reference>
          <reference field="7" count="1" selected="0">
            <x v="1"/>
          </reference>
          <reference field="8" count="1" selected="0">
            <x v="1"/>
          </reference>
          <reference field="9" count="1" selected="0">
            <x v="5"/>
          </reference>
          <reference field="15" count="1">
            <x v="8"/>
          </reference>
        </references>
      </pivotArea>
    </format>
    <format dxfId="132">
      <pivotArea dataOnly="0" labelOnly="1" outline="0" fieldPosition="0">
        <references count="9">
          <reference field="0" count="1" selected="0">
            <x v="2"/>
          </reference>
          <reference field="2" count="1" selected="0">
            <x v="1"/>
          </reference>
          <reference field="3" count="1" selected="0">
            <x v="0"/>
          </reference>
          <reference field="4" count="1" selected="0">
            <x v="6"/>
          </reference>
          <reference field="5" count="1" selected="0">
            <x v="0"/>
          </reference>
          <reference field="7" count="1" selected="0">
            <x v="8"/>
          </reference>
          <reference field="8" count="1" selected="0">
            <x v="8"/>
          </reference>
          <reference field="9" count="1" selected="0">
            <x v="2"/>
          </reference>
          <reference field="15" count="1">
            <x v="5"/>
          </reference>
        </references>
      </pivotArea>
    </format>
    <format dxfId="131">
      <pivotArea dataOnly="0" labelOnly="1" outline="0" fieldPosition="0">
        <references count="9">
          <reference field="0" count="1" selected="0">
            <x v="2"/>
          </reference>
          <reference field="2" count="1" selected="0">
            <x v="1"/>
          </reference>
          <reference field="3" count="1" selected="0">
            <x v="0"/>
          </reference>
          <reference field="4" count="1" selected="0">
            <x v="6"/>
          </reference>
          <reference field="5" count="1" selected="0">
            <x v="0"/>
          </reference>
          <reference field="7" count="1" selected="0">
            <x v="11"/>
          </reference>
          <reference field="8" count="1" selected="0">
            <x v="11"/>
          </reference>
          <reference field="9" count="1" selected="0">
            <x v="4"/>
          </reference>
          <reference field="15" count="1">
            <x v="7"/>
          </reference>
        </references>
      </pivotArea>
    </format>
    <format dxfId="130">
      <pivotArea dataOnly="0" labelOnly="1" outline="0" fieldPosition="0">
        <references count="9">
          <reference field="0" count="1" selected="0">
            <x v="2"/>
          </reference>
          <reference field="2" count="1" selected="0">
            <x v="1"/>
          </reference>
          <reference field="3" count="1" selected="0">
            <x v="0"/>
          </reference>
          <reference field="4" count="1" selected="0">
            <x v="6"/>
          </reference>
          <reference field="5" count="1" selected="0">
            <x v="5"/>
          </reference>
          <reference field="7" count="1" selected="0">
            <x v="17"/>
          </reference>
          <reference field="8" count="1" selected="0">
            <x v="17"/>
          </reference>
          <reference field="9" count="1" selected="0">
            <x v="0"/>
          </reference>
          <reference field="15" count="1">
            <x v="8"/>
          </reference>
        </references>
      </pivotArea>
    </format>
    <format dxfId="129">
      <pivotArea dataOnly="0" labelOnly="1" outline="0" fieldPosition="0">
        <references count="9">
          <reference field="0" count="1" selected="0">
            <x v="1"/>
          </reference>
          <reference field="2" count="1" selected="0">
            <x v="4"/>
          </reference>
          <reference field="3" count="1" selected="0">
            <x v="0"/>
          </reference>
          <reference field="4" count="1" selected="0">
            <x v="5"/>
          </reference>
          <reference field="5" count="1" selected="0">
            <x v="0"/>
          </reference>
          <reference field="7" count="1" selected="0">
            <x v="9"/>
          </reference>
          <reference field="8" count="1" selected="0">
            <x v="9"/>
          </reference>
          <reference field="9" count="1" selected="0">
            <x v="5"/>
          </reference>
          <reference field="15" count="1">
            <x v="6"/>
          </reference>
        </references>
      </pivotArea>
    </format>
    <format dxfId="128">
      <pivotArea dataOnly="0" labelOnly="1" outline="0" fieldPosition="0">
        <references count="9">
          <reference field="0" count="1" selected="0">
            <x v="0"/>
          </reference>
          <reference field="2" count="1" selected="0">
            <x v="5"/>
          </reference>
          <reference field="3" count="1" selected="0">
            <x v="0"/>
          </reference>
          <reference field="4" count="1" selected="0">
            <x v="5"/>
          </reference>
          <reference field="5" count="1" selected="0">
            <x v="3"/>
          </reference>
          <reference field="7" count="1" selected="0">
            <x v="11"/>
          </reference>
          <reference field="8" count="1" selected="0">
            <x v="12"/>
          </reference>
          <reference field="9" count="1" selected="0">
            <x v="2"/>
          </reference>
          <reference field="15" count="1">
            <x v="8"/>
          </reference>
        </references>
      </pivotArea>
    </format>
    <format dxfId="127">
      <pivotArea dataOnly="0" labelOnly="1" outline="0" fieldPosition="0">
        <references count="10">
          <reference field="0" count="1" selected="0">
            <x v="0"/>
          </reference>
          <reference field="2" count="1" selected="0">
            <x v="0"/>
          </reference>
          <reference field="3" count="1" selected="0">
            <x v="0"/>
          </reference>
          <reference field="4" count="1" selected="0">
            <x v="6"/>
          </reference>
          <reference field="5" count="1" selected="0">
            <x v="3"/>
          </reference>
          <reference field="7" count="1" selected="0">
            <x v="16"/>
          </reference>
          <reference field="8" count="1" selected="0">
            <x v="16"/>
          </reference>
          <reference field="9" count="1" selected="0">
            <x v="7"/>
          </reference>
          <reference field="15" count="1" selected="0">
            <x v="8"/>
          </reference>
          <reference field="19" count="1">
            <x v="3"/>
          </reference>
        </references>
      </pivotArea>
    </format>
    <format dxfId="126">
      <pivotArea dataOnly="0" labelOnly="1" outline="0" fieldPosition="0">
        <references count="10">
          <reference field="0" count="1" selected="0">
            <x v="1"/>
          </reference>
          <reference field="2" count="1" selected="0">
            <x v="0"/>
          </reference>
          <reference field="3" count="1" selected="0">
            <x v="0"/>
          </reference>
          <reference field="4" count="1" selected="0">
            <x v="6"/>
          </reference>
          <reference field="5" count="1" selected="0">
            <x v="0"/>
          </reference>
          <reference field="7" count="1" selected="0">
            <x v="10"/>
          </reference>
          <reference field="8" count="1" selected="0">
            <x v="10"/>
          </reference>
          <reference field="9" count="1" selected="0">
            <x v="7"/>
          </reference>
          <reference field="15" count="1" selected="0">
            <x v="7"/>
          </reference>
          <reference field="19" count="1">
            <x v="3"/>
          </reference>
        </references>
      </pivotArea>
    </format>
    <format dxfId="125">
      <pivotArea dataOnly="0" labelOnly="1" outline="0" fieldPosition="0">
        <references count="10">
          <reference field="0" count="1" selected="0">
            <x v="2"/>
          </reference>
          <reference field="2" count="1" selected="0">
            <x v="0"/>
          </reference>
          <reference field="3" count="1" selected="0">
            <x v="0"/>
          </reference>
          <reference field="4" count="1" selected="0">
            <x v="0"/>
          </reference>
          <reference field="5" count="1" selected="0">
            <x v="1"/>
          </reference>
          <reference field="7" count="1" selected="0">
            <x v="4"/>
          </reference>
          <reference field="8" count="1" selected="0">
            <x v="4"/>
          </reference>
          <reference field="9" count="1" selected="0">
            <x v="7"/>
          </reference>
          <reference field="15" count="1" selected="0">
            <x v="8"/>
          </reference>
          <reference field="19" count="1">
            <x v="3"/>
          </reference>
        </references>
      </pivotArea>
    </format>
    <format dxfId="124">
      <pivotArea dataOnly="0" labelOnly="1" outline="0" fieldPosition="0">
        <references count="10">
          <reference field="0" count="1" selected="0">
            <x v="2"/>
          </reference>
          <reference field="2" count="1" selected="0">
            <x v="0"/>
          </reference>
          <reference field="3" count="1" selected="0">
            <x v="0"/>
          </reference>
          <reference field="4" count="1" selected="0">
            <x v="1"/>
          </reference>
          <reference field="5" count="1" selected="0">
            <x v="1"/>
          </reference>
          <reference field="7" count="1" selected="0">
            <x v="7"/>
          </reference>
          <reference field="8" count="1" selected="0">
            <x v="7"/>
          </reference>
          <reference field="9" count="1" selected="0">
            <x v="1"/>
          </reference>
          <reference field="15" count="1" selected="0">
            <x v="4"/>
          </reference>
          <reference field="19" count="1">
            <x v="1"/>
          </reference>
        </references>
      </pivotArea>
    </format>
    <format dxfId="123">
      <pivotArea dataOnly="0" labelOnly="1" outline="0" fieldPosition="0">
        <references count="10">
          <reference field="0" count="1" selected="0">
            <x v="2"/>
          </reference>
          <reference field="2" count="1" selected="0">
            <x v="0"/>
          </reference>
          <reference field="3" count="1" selected="0">
            <x v="0"/>
          </reference>
          <reference field="4" count="1" selected="0">
            <x v="2"/>
          </reference>
          <reference field="5" count="1" selected="0">
            <x v="2"/>
          </reference>
          <reference field="7" count="1" selected="0">
            <x v="6"/>
          </reference>
          <reference field="8" count="1" selected="0">
            <x v="6"/>
          </reference>
          <reference field="9" count="1" selected="0">
            <x v="1"/>
          </reference>
          <reference field="15" count="1" selected="0">
            <x v="3"/>
          </reference>
          <reference field="19" count="1">
            <x v="1"/>
          </reference>
        </references>
      </pivotArea>
    </format>
    <format dxfId="122">
      <pivotArea dataOnly="0" labelOnly="1" outline="0" fieldPosition="0">
        <references count="10">
          <reference field="0" count="1" selected="0">
            <x v="2"/>
          </reference>
          <reference field="2" count="1" selected="0">
            <x v="0"/>
          </reference>
          <reference field="3" count="1" selected="0">
            <x v="0"/>
          </reference>
          <reference field="4" count="1" selected="0">
            <x v="2"/>
          </reference>
          <reference field="5" count="1" selected="0">
            <x v="2"/>
          </reference>
          <reference field="7" count="1" selected="0">
            <x v="6"/>
          </reference>
          <reference field="8" count="1" selected="0">
            <x v="6"/>
          </reference>
          <reference field="9" count="1" selected="0">
            <x v="1"/>
          </reference>
          <reference field="15" count="1" selected="0">
            <x v="8"/>
          </reference>
          <reference field="19" count="1">
            <x v="3"/>
          </reference>
        </references>
      </pivotArea>
    </format>
    <format dxfId="121">
      <pivotArea dataOnly="0" labelOnly="1" outline="0" fieldPosition="0">
        <references count="10">
          <reference field="0" count="1" selected="0">
            <x v="2"/>
          </reference>
          <reference field="2" count="1" selected="0">
            <x v="0"/>
          </reference>
          <reference field="3" count="1" selected="0">
            <x v="0"/>
          </reference>
          <reference field="4" count="1" selected="0">
            <x v="3"/>
          </reference>
          <reference field="5" count="1" selected="0">
            <x v="1"/>
          </reference>
          <reference field="7" count="1" selected="0">
            <x v="5"/>
          </reference>
          <reference field="8" count="1" selected="0">
            <x v="5"/>
          </reference>
          <reference field="9" count="1" selected="0">
            <x v="3"/>
          </reference>
          <reference field="15" count="1" selected="0">
            <x v="2"/>
          </reference>
          <reference field="19" count="1">
            <x v="3"/>
          </reference>
        </references>
      </pivotArea>
    </format>
    <format dxfId="120">
      <pivotArea dataOnly="0" labelOnly="1" outline="0" fieldPosition="0">
        <references count="10">
          <reference field="0" count="1" selected="0">
            <x v="2"/>
          </reference>
          <reference field="2" count="1" selected="0">
            <x v="0"/>
          </reference>
          <reference field="3" count="1" selected="0">
            <x v="0"/>
          </reference>
          <reference field="4" count="1" selected="0">
            <x v="4"/>
          </reference>
          <reference field="5" count="1" selected="0">
            <x v="1"/>
          </reference>
          <reference field="7" count="1" selected="0">
            <x v="0"/>
          </reference>
          <reference field="8" count="1" selected="0">
            <x v="0"/>
          </reference>
          <reference field="9" count="1" selected="0">
            <x v="7"/>
          </reference>
          <reference field="15" count="1" selected="0">
            <x v="0"/>
          </reference>
          <reference field="19" count="1">
            <x v="2"/>
          </reference>
        </references>
      </pivotArea>
    </format>
    <format dxfId="119">
      <pivotArea dataOnly="0" labelOnly="1" outline="0" fieldPosition="0">
        <references count="10">
          <reference field="0" count="1" selected="0">
            <x v="2"/>
          </reference>
          <reference field="2" count="1" selected="0">
            <x v="0"/>
          </reference>
          <reference field="3" count="1" selected="0">
            <x v="0"/>
          </reference>
          <reference field="4" count="1" selected="0">
            <x v="4"/>
          </reference>
          <reference field="5" count="1" selected="0">
            <x v="2"/>
          </reference>
          <reference field="7" count="1" selected="0">
            <x v="3"/>
          </reference>
          <reference field="8" count="1" selected="0">
            <x v="3"/>
          </reference>
          <reference field="9" count="1" selected="0">
            <x v="1"/>
          </reference>
          <reference field="15" count="1" selected="0">
            <x v="1"/>
          </reference>
          <reference field="19" count="1">
            <x v="0"/>
          </reference>
        </references>
      </pivotArea>
    </format>
    <format dxfId="118">
      <pivotArea dataOnly="0" labelOnly="1" outline="0" fieldPosition="0">
        <references count="10">
          <reference field="0" count="1" selected="0">
            <x v="2"/>
          </reference>
          <reference field="2" count="1" selected="0">
            <x v="0"/>
          </reference>
          <reference field="3" count="1" selected="0">
            <x v="0"/>
          </reference>
          <reference field="4" count="1" selected="0">
            <x v="4"/>
          </reference>
          <reference field="5" count="1" selected="0">
            <x v="3"/>
          </reference>
          <reference field="7" count="1" selected="0">
            <x v="1"/>
          </reference>
          <reference field="8" count="1" selected="0">
            <x v="1"/>
          </reference>
          <reference field="9" count="1" selected="0">
            <x v="5"/>
          </reference>
          <reference field="15" count="1" selected="0">
            <x v="8"/>
          </reference>
          <reference field="19" count="1">
            <x v="3"/>
          </reference>
        </references>
      </pivotArea>
    </format>
    <format dxfId="117">
      <pivotArea dataOnly="0" labelOnly="1" outline="0" fieldPosition="0">
        <references count="10">
          <reference field="0" count="1" selected="0">
            <x v="2"/>
          </reference>
          <reference field="2" count="1" selected="0">
            <x v="0"/>
          </reference>
          <reference field="3" count="1" selected="0">
            <x v="0"/>
          </reference>
          <reference field="4" count="1" selected="0">
            <x v="4"/>
          </reference>
          <reference field="5" count="1" selected="0">
            <x v="4"/>
          </reference>
          <reference field="7" count="1" selected="0">
            <x v="2"/>
          </reference>
          <reference field="8" count="1" selected="0">
            <x v="2"/>
          </reference>
          <reference field="9" count="1" selected="0">
            <x v="7"/>
          </reference>
          <reference field="15" count="1" selected="0">
            <x v="8"/>
          </reference>
          <reference field="19" count="1">
            <x v="3"/>
          </reference>
        </references>
      </pivotArea>
    </format>
    <format dxfId="116">
      <pivotArea dataOnly="0" labelOnly="1" outline="0" fieldPosition="0">
        <references count="10">
          <reference field="0" count="1" selected="0">
            <x v="2"/>
          </reference>
          <reference field="2" count="1" selected="0">
            <x v="1"/>
          </reference>
          <reference field="3" count="1" selected="0">
            <x v="0"/>
          </reference>
          <reference field="4" count="1" selected="0">
            <x v="6"/>
          </reference>
          <reference field="5" count="1" selected="0">
            <x v="0"/>
          </reference>
          <reference field="7" count="1" selected="0">
            <x v="8"/>
          </reference>
          <reference field="8" count="1" selected="0">
            <x v="8"/>
          </reference>
          <reference field="9" count="1" selected="0">
            <x v="2"/>
          </reference>
          <reference field="15" count="1" selected="0">
            <x v="5"/>
          </reference>
          <reference field="19" count="1">
            <x v="2"/>
          </reference>
        </references>
      </pivotArea>
    </format>
    <format dxfId="115">
      <pivotArea dataOnly="0" labelOnly="1" outline="0" fieldPosition="0">
        <references count="10">
          <reference field="0" count="1" selected="0">
            <x v="2"/>
          </reference>
          <reference field="2" count="1" selected="0">
            <x v="1"/>
          </reference>
          <reference field="3" count="1" selected="0">
            <x v="0"/>
          </reference>
          <reference field="4" count="1" selected="0">
            <x v="6"/>
          </reference>
          <reference field="5" count="1" selected="0">
            <x v="0"/>
          </reference>
          <reference field="7" count="1" selected="0">
            <x v="11"/>
          </reference>
          <reference field="8" count="1" selected="0">
            <x v="11"/>
          </reference>
          <reference field="9" count="1" selected="0">
            <x v="4"/>
          </reference>
          <reference field="15" count="1" selected="0">
            <x v="7"/>
          </reference>
          <reference field="19" count="1">
            <x v="1"/>
          </reference>
        </references>
      </pivotArea>
    </format>
    <format dxfId="114">
      <pivotArea dataOnly="0" labelOnly="1" outline="0" fieldPosition="0">
        <references count="10">
          <reference field="0" count="1" selected="0">
            <x v="2"/>
          </reference>
          <reference field="2" count="1" selected="0">
            <x v="1"/>
          </reference>
          <reference field="3" count="1" selected="0">
            <x v="0"/>
          </reference>
          <reference field="4" count="1" selected="0">
            <x v="6"/>
          </reference>
          <reference field="5" count="1" selected="0">
            <x v="5"/>
          </reference>
          <reference field="7" count="1" selected="0">
            <x v="17"/>
          </reference>
          <reference field="8" count="1" selected="0">
            <x v="17"/>
          </reference>
          <reference field="9" count="1" selected="0">
            <x v="0"/>
          </reference>
          <reference field="15" count="1" selected="0">
            <x v="8"/>
          </reference>
          <reference field="19" count="1">
            <x v="3"/>
          </reference>
        </references>
      </pivotArea>
    </format>
    <format dxfId="113">
      <pivotArea dataOnly="0" labelOnly="1" outline="0" fieldPosition="0">
        <references count="10">
          <reference field="0" count="1" selected="0">
            <x v="2"/>
          </reference>
          <reference field="2" count="1" selected="0">
            <x v="2"/>
          </reference>
          <reference field="3" count="1" selected="0">
            <x v="0"/>
          </reference>
          <reference field="4" count="1" selected="0">
            <x v="6"/>
          </reference>
          <reference field="5" count="1" selected="0">
            <x v="0"/>
          </reference>
          <reference field="7" count="1" selected="0">
            <x v="12"/>
          </reference>
          <reference field="8" count="1" selected="0">
            <x v="17"/>
          </reference>
          <reference field="9" count="1" selected="0">
            <x v="6"/>
          </reference>
          <reference field="15" count="1" selected="0">
            <x v="8"/>
          </reference>
          <reference field="19" count="1">
            <x v="3"/>
          </reference>
        </references>
      </pivotArea>
    </format>
    <format dxfId="112">
      <pivotArea dataOnly="0" labelOnly="1" outline="0" fieldPosition="0">
        <references count="10">
          <reference field="0" count="1" selected="0">
            <x v="4"/>
          </reference>
          <reference field="2" count="1" selected="0">
            <x v="3"/>
          </reference>
          <reference field="3" count="1" selected="0">
            <x v="1"/>
          </reference>
          <reference field="4" count="1" selected="0">
            <x v="8"/>
          </reference>
          <reference field="5" count="1" selected="0">
            <x v="0"/>
          </reference>
          <reference field="7" count="1" selected="0">
            <x v="14"/>
          </reference>
          <reference field="8" count="1" selected="0">
            <x v="15"/>
          </reference>
          <reference field="9" count="1" selected="0">
            <x v="1"/>
          </reference>
          <reference field="15" count="1" selected="0">
            <x v="8"/>
          </reference>
          <reference field="19" count="1">
            <x v="3"/>
          </reference>
        </references>
      </pivotArea>
    </format>
    <format dxfId="111">
      <pivotArea dataOnly="0" labelOnly="1" outline="0" fieldPosition="0">
        <references count="10">
          <reference field="0" count="1" selected="0">
            <x v="1"/>
          </reference>
          <reference field="2" count="1" selected="0">
            <x v="4"/>
          </reference>
          <reference field="3" count="1" selected="0">
            <x v="0"/>
          </reference>
          <reference field="4" count="1" selected="0">
            <x v="5"/>
          </reference>
          <reference field="5" count="1" selected="0">
            <x v="0"/>
          </reference>
          <reference field="7" count="1" selected="0">
            <x v="9"/>
          </reference>
          <reference field="8" count="1" selected="0">
            <x v="9"/>
          </reference>
          <reference field="9" count="1" selected="0">
            <x v="5"/>
          </reference>
          <reference field="15" count="1" selected="0">
            <x v="6"/>
          </reference>
          <reference field="19" count="1">
            <x v="3"/>
          </reference>
        </references>
      </pivotArea>
    </format>
    <format dxfId="110">
      <pivotArea dataOnly="0" labelOnly="1" outline="0" fieldPosition="0">
        <references count="10">
          <reference field="0" count="1" selected="0">
            <x v="0"/>
          </reference>
          <reference field="2" count="1" selected="0">
            <x v="5"/>
          </reference>
          <reference field="3" count="1" selected="0">
            <x v="0"/>
          </reference>
          <reference field="4" count="1" selected="0">
            <x v="5"/>
          </reference>
          <reference field="5" count="1" selected="0">
            <x v="3"/>
          </reference>
          <reference field="7" count="1" selected="0">
            <x v="11"/>
          </reference>
          <reference field="8" count="1" selected="0">
            <x v="12"/>
          </reference>
          <reference field="9" count="1" selected="0">
            <x v="2"/>
          </reference>
          <reference field="15" count="1" selected="0">
            <x v="8"/>
          </reference>
          <reference field="19" count="1">
            <x v="3"/>
          </reference>
        </references>
      </pivotArea>
    </format>
    <format dxfId="109">
      <pivotArea dataOnly="0" labelOnly="1" outline="0" fieldPosition="0">
        <references count="10">
          <reference field="0" count="1" selected="0">
            <x v="3"/>
          </reference>
          <reference field="2" count="1" selected="0">
            <x v="6"/>
          </reference>
          <reference field="3" count="1" selected="0">
            <x v="2"/>
          </reference>
          <reference field="4" count="1" selected="0">
            <x v="7"/>
          </reference>
          <reference field="5" count="1" selected="0">
            <x v="0"/>
          </reference>
          <reference field="7" count="1" selected="0">
            <x v="13"/>
          </reference>
          <reference field="8" count="1" selected="0">
            <x v="14"/>
          </reference>
          <reference field="9" count="1" selected="0">
            <x v="7"/>
          </reference>
          <reference field="15" count="1" selected="0">
            <x v="8"/>
          </reference>
          <reference field="19" count="1">
            <x v="3"/>
          </reference>
        </references>
      </pivotArea>
    </format>
    <format dxfId="108">
      <pivotArea dataOnly="0" labelOnly="1" outline="0" fieldPosition="0">
        <references count="10">
          <reference field="0" count="1" selected="0">
            <x v="5"/>
          </reference>
          <reference field="2" count="1" selected="0">
            <x v="7"/>
          </reference>
          <reference field="3" count="1" selected="0">
            <x v="3"/>
          </reference>
          <reference field="4" count="1" selected="0">
            <x v="9"/>
          </reference>
          <reference field="5" count="1" selected="0">
            <x v="0"/>
          </reference>
          <reference field="7" count="1" selected="0">
            <x v="15"/>
          </reference>
          <reference field="8" count="1" selected="0">
            <x v="13"/>
          </reference>
          <reference field="9" count="1" selected="0">
            <x v="4"/>
          </reference>
          <reference field="15" count="1" selected="0">
            <x v="8"/>
          </reference>
          <reference field="19" count="1">
            <x v="3"/>
          </reference>
        </references>
      </pivotArea>
    </format>
  </formats>
  <pivotTableStyleInfo name="PivotStyleMedium9-LookAhead"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KTR" sourceName="KTR">
  <pivotTables>
    <pivotTable tabId="5" name="PTReportPivot"/>
  </pivotTables>
  <data>
    <tabular pivotCacheId="1">
      <items count="6">
        <i x="0" s="1"/>
        <i x="1" s="1"/>
        <i x="2" s="1"/>
        <i x="3" s="1"/>
        <i x="4"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5" name="PTReportPivot"/>
  </pivotTables>
  <data>
    <tabular pivotCacheId="1">
      <items count="5">
        <i x="2" s="1"/>
        <i x="1" s="1"/>
        <i x="0" s="1"/>
        <i x="4"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pplicable_To" sourceName="Applicable To">
  <pivotTables>
    <pivotTable tabId="5" name="PTReportPivot"/>
  </pivotTables>
  <data>
    <tabular pivotCacheId="1">
      <items count="10">
        <i x="3" s="1"/>
        <i x="6" s="1"/>
        <i x="5" s="1"/>
        <i x="4" s="1"/>
        <i x="2" s="1"/>
        <i x="1" s="1"/>
        <i x="0" s="1"/>
        <i x="7" s="1"/>
        <i x="8" s="1"/>
        <i x="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TR_OnTime_Late" sourceName="KTR OnTime/Late">
  <pivotTables>
    <pivotTable tabId="5" name="PTReportPivot"/>
  </pivotTables>
  <data>
    <tabular pivotCacheId="1">
      <items count="8">
        <i x="6" s="1"/>
        <i x="3" s="1"/>
        <i x="1" s="1"/>
        <i x="4" s="1"/>
        <i x="5" s="1"/>
        <i x="2" s="1"/>
        <i x="7"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OTR_Decision___Outcome" sourceName="COTR Decision - Outcome">
  <pivotTables>
    <pivotTable tabId="5" name="PTReportPivot"/>
  </pivotTables>
  <data>
    <tabular pivotCacheId="1">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KTR" cache="Slicer_KTR" caption="KTR" rowHeight="182880"/>
  <slicer name="State" cache="Slicer_State" caption="State" rowHeight="182880"/>
  <slicer name="Applicable To" cache="Slicer_Applicable_To" caption="Applicable To" rowHeight="182880"/>
  <slicer name="KTR OnTime/Late" cache="Slicer_KTR_OnTime_Late" caption="KTR OnTime/Late" rowHeight="182880"/>
  <slicer name="COTR Decision - Outcome" cache="Slicer_COTR_Decision___Outcome" caption="COTR Decision - Outcome" rowHeight="182880"/>
</slicers>
</file>

<file path=xl/tables/table1.xml><?xml version="1.0" encoding="utf-8"?>
<table xmlns="http://schemas.openxmlformats.org/spreadsheetml/2006/main" id="2" name="Table2" displayName="Table2" ref="A3:Z23" totalsRowShown="0" headerRowDxfId="528" headerRowBorderDxfId="527" tableBorderDxfId="526">
  <autoFilter ref="A3:Z23"/>
  <sortState ref="A4:Y23">
    <sortCondition ref="A4:A23"/>
    <sortCondition ref="B4:B23"/>
    <sortCondition ref="C4:C23"/>
    <sortCondition ref="H4:H23"/>
    <sortCondition ref="E4:E23"/>
    <sortCondition ref="F4:F23"/>
  </sortState>
  <tableColumns count="26">
    <tableColumn id="1" name="KTR" dataDxfId="525"/>
    <tableColumn id="2" name="CLIN" dataDxfId="524"/>
    <tableColumn id="3" name="CDRL ID" dataDxfId="523"/>
    <tableColumn id="4" name="Title" dataDxfId="522">
      <calculatedColumnFormula>IFERROR(IF(OR(ISBLANK(Table2[[#This Row],[KTR]]),ISBLANK(Table2[[#This Row],[CLIN]]),ISBLANK(Table2[[#This Row],[CDRL ID]]))=TRUE,"",VLOOKUP(Table2[[#This Row],[KTR]]&amp;"|"&amp;Table2[[#This Row],[CLIN]]&amp;"|"&amp;Table2[[#This Row],[CDRL ID]],
Table4[],5,FALSE)),"ERROR: Title Not Found in LookUps")</calculatedColumnFormula>
    </tableColumn>
    <tableColumn id="5" name="Applicable To" dataDxfId="521"/>
    <tableColumn id="6" name="Submission" dataDxfId="520"/>
    <tableColumn id="7" name="State" dataDxfId="519"/>
    <tableColumn id="8" name="KTR Date Due" dataDxfId="518"/>
    <tableColumn id="9" name="Actual Delivery Date" dataDxfId="517"/>
    <tableColumn id="10" name="KTR OnTime/Late" dataDxfId="516">
      <calculatedColumnFormula>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calculatedColumnFormula>
    </tableColumn>
    <tableColumn id="11" name="SETA Review Team Due Date" dataDxfId="515"/>
    <tableColumn id="12" name="SETA Rvw Days Remaining" dataDxfId="514">
      <calculatedColumnFormula>IF(Table2[[#This Row],[State]]="SETA Rvw", Table2[[#This Row],[SETA Review Team Due Date]]-TODAY(),"-")</calculatedColumnFormula>
    </tableColumn>
    <tableColumn id="13" name="PO Reviewer Recco" dataDxfId="513"/>
    <tableColumn id="14" name="Actual PO Date" dataDxfId="512"/>
    <tableColumn id="15" name="PO Reviewer Comments" dataDxfId="511"/>
    <tableColumn id="16" name="Gov't Response Due Date" dataDxfId="510"/>
    <tableColumn id="17" name="Response Days Remaining" dataDxfId="509">
      <calculatedColumnFormula>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calculatedColumnFormula>
    </tableColumn>
    <tableColumn id="18" name="Actual Gov't Response Date" dataDxfId="508"/>
    <tableColumn id="19" name="Gov't OnTime/Late" dataDxfId="507">
      <calculatedColumnFormula>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calculatedColumnFormula>
    </tableColumn>
    <tableColumn id="20" name="COTR Decision - Outcome" dataDxfId="506"/>
    <tableColumn id="21" name="COTR Comments" dataDxfId="505"/>
    <tableColumn id="22" name="Date CCM Notified" dataDxfId="504"/>
    <tableColumn id="23" name="KTR Resubmit Date" dataDxfId="503"/>
    <tableColumn id="24" name="PO Notes" dataDxfId="502"/>
    <tableColumn id="25" name="EarlyLateOntime" dataDxfId="501">
      <calculatedColumnFormula>IF(Table2[[#This Row],[KTR OnTime/Late]] = "", "",
IF(LEFT(Table2[[#This Row],[KTR OnTime/Late]], 5) = "Early", "Early",
IF(LEFT(Table2[[#This Row],[KTR OnTime/Late]],4)="Late", "Late",
IF(LEFT(Table2[[#This Row],[KTR OnTime/Late]],5)="Ontim", "OnTime",
IF(LEFT(Table2[[#This Row],[KTR OnTime/Late]],5)="Pendi", "Pending","ERR")))))</calculatedColumnFormula>
    </tableColumn>
    <tableColumn id="26" name="Number of Artifacts"/>
  </tableColumns>
  <tableStyleInfo name="TableStyleLight1" showFirstColumn="0" showLastColumn="0" showRowStripes="1" showColumnStripes="0"/>
</table>
</file>

<file path=xl/tables/table2.xml><?xml version="1.0" encoding="utf-8"?>
<table xmlns="http://schemas.openxmlformats.org/spreadsheetml/2006/main" id="1" name="Table1" displayName="Table1" ref="A2:AC56" totalsRowShown="0" headerRowDxfId="500" headerRowBorderDxfId="499" tableBorderDxfId="498">
  <autoFilter ref="A2:AC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sortState ref="A3:AC28">
    <sortCondition ref="A3:A28"/>
  </sortState>
  <tableColumns count="29">
    <tableColumn id="1" name="Name" dataDxfId="497"/>
    <tableColumn id="2" name="Email" dataDxfId="496"/>
    <tableColumn id="3" name="Role/Notes" dataDxfId="495"/>
    <tableColumn id="4" name="A-001" dataDxfId="494"/>
    <tableColumn id="5" name="A-002" dataDxfId="493"/>
    <tableColumn id="6" name="A-004" dataDxfId="492"/>
    <tableColumn id="7" name="A-005" dataDxfId="491"/>
    <tableColumn id="8" name="A-006" dataDxfId="490"/>
    <tableColumn id="9" name="A-007" dataDxfId="489"/>
    <tableColumn id="10" name="A-008" dataDxfId="488"/>
    <tableColumn id="11" name="A-009" dataDxfId="487"/>
    <tableColumn id="12" name="A-010" dataDxfId="486"/>
    <tableColumn id="13" name="A-011" dataDxfId="485"/>
    <tableColumn id="14" name="B-001" dataDxfId="484"/>
    <tableColumn id="15" name="B-002" dataDxfId="483"/>
    <tableColumn id="16" name="B-003" dataDxfId="482"/>
    <tableColumn id="17" name="B-004" dataDxfId="481"/>
    <tableColumn id="18" name="B-005" dataDxfId="480"/>
    <tableColumn id="19" name="B-006" dataDxfId="479"/>
    <tableColumn id="20" name="B-007" dataDxfId="478"/>
    <tableColumn id="21" name="B-008" dataDxfId="477"/>
    <tableColumn id="22" name="B-009" dataDxfId="476"/>
    <tableColumn id="23" name="B-010" dataDxfId="475"/>
    <tableColumn id="24" name="B-011" dataDxfId="474"/>
    <tableColumn id="25" name="C-001" dataDxfId="473"/>
    <tableColumn id="26" name="C-002" dataDxfId="472"/>
    <tableColumn id="27" name="C-003" dataDxfId="471"/>
    <tableColumn id="28" name="D-001" dataDxfId="470"/>
    <tableColumn id="29" name="F-001" dataDxfId="469"/>
  </tableColumns>
  <tableStyleInfo name="TableStyleLight1" showFirstColumn="0" showLastColumn="0" showRowStripes="1" showColumnStripes="0"/>
</table>
</file>

<file path=xl/tables/table3.xml><?xml version="1.0" encoding="utf-8"?>
<table xmlns="http://schemas.openxmlformats.org/spreadsheetml/2006/main" id="4" name="Table3" displayName="Table3" ref="B3:B9" totalsRowShown="0">
  <autoFilter ref="B3:B9"/>
  <tableColumns count="1">
    <tableColumn id="1" name="Lname_Fname"/>
  </tableColumns>
  <tableStyleInfo name="TableStyleMedium2" showFirstColumn="0" showLastColumn="0" showRowStripes="1" showColumnStripes="0"/>
</table>
</file>

<file path=xl/tables/table4.xml><?xml version="1.0" encoding="utf-8"?>
<table xmlns="http://schemas.openxmlformats.org/spreadsheetml/2006/main" id="5" name="Table5" displayName="Table5" ref="B19:D33" totalsRowShown="0" headerRowDxfId="468">
  <autoFilter ref="B19:D33"/>
  <tableColumns count="3">
    <tableColumn id="1" name="Name"/>
    <tableColumn id="2" name="Email"/>
    <tableColumn id="3" name="Recipient (R) or CC: (I)"/>
  </tableColumns>
  <tableStyleInfo name="TableStyleMedium2" showFirstColumn="0" showLastColumn="0" showRowStripes="1" showColumnStripes="0"/>
</table>
</file>

<file path=xl/tables/table5.xml><?xml version="1.0" encoding="utf-8"?>
<table xmlns="http://schemas.openxmlformats.org/spreadsheetml/2006/main" id="6" name="Table4" displayName="Table4" ref="G1:K100" totalsRowShown="0" headerRowDxfId="467">
  <autoFilter ref="G1:K100"/>
  <tableColumns count="5">
    <tableColumn id="1" name="ConCat" dataDxfId="466">
      <calculatedColumnFormula>IF(OR(Table4[[#This Row],[KTR]]="", Table4[[#This Row],[CLIN]]="", Table4[[#This Row],[CDRL No (BLK 1)]]="")=TRUE,"",Table4[[#This Row],[KTR]]&amp;"|"&amp;Table4[[#This Row],[CLIN]]&amp;"|"&amp;Table4[[#This Row],[CDRL No (BLK 1)]])</calculatedColumnFormula>
    </tableColumn>
    <tableColumn id="2" name="KTR" dataDxfId="465"/>
    <tableColumn id="3" name="CLIN" dataDxfId="464"/>
    <tableColumn id="4" name="CDRL No (BLK 1)" dataDxfId="463"/>
    <tableColumn id="5" name="Title (BLK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omments" Target="../comments1.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ctrlProp" Target="../ctrlProps/ctrlProp1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7.xml"/><Relationship Id="rId6" Type="http://schemas.microsoft.com/office/2007/relationships/slicer" Target="../slicers/slicer1.xml"/><Relationship Id="rId5" Type="http://schemas.openxmlformats.org/officeDocument/2006/relationships/ctrlProp" Target="../ctrlProps/ctrlProp17.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mailto:hubenervicotr@gmail.com" TargetMode="External"/><Relationship Id="rId13" Type="http://schemas.openxmlformats.org/officeDocument/2006/relationships/table" Target="../tables/table4.xml"/><Relationship Id="rId3" Type="http://schemas.openxmlformats.org/officeDocument/2006/relationships/hyperlink" Target="mailto:Eggalexa@gmail.com" TargetMode="External"/><Relationship Id="rId7" Type="http://schemas.openxmlformats.org/officeDocument/2006/relationships/hyperlink" Target="mailto:freypatrick@gmail.com" TargetMode="External"/><Relationship Id="rId12" Type="http://schemas.openxmlformats.org/officeDocument/2006/relationships/table" Target="../tables/table3.xml"/><Relationship Id="rId2" Type="http://schemas.openxmlformats.org/officeDocument/2006/relationships/hyperlink" Target="mailto:Cristmarlene@gmail.com" TargetMode="External"/><Relationship Id="rId1" Type="http://schemas.openxmlformats.org/officeDocument/2006/relationships/hyperlink" Target="mailto:Browncherly@gmail.com" TargetMode="External"/><Relationship Id="rId6" Type="http://schemas.openxmlformats.org/officeDocument/2006/relationships/hyperlink" Target="mailto:saddlebacksteve@gmail.com" TargetMode="External"/><Relationship Id="rId11" Type="http://schemas.openxmlformats.org/officeDocument/2006/relationships/printerSettings" Target="../printerSettings/printerSettings4.bin"/><Relationship Id="rId5" Type="http://schemas.openxmlformats.org/officeDocument/2006/relationships/hyperlink" Target="mailto:essencedrew@gmail.com" TargetMode="External"/><Relationship Id="rId10" Type="http://schemas.openxmlformats.org/officeDocument/2006/relationships/hyperlink" Target="mailto:dixonpamela@gmail.com" TargetMode="External"/><Relationship Id="rId4" Type="http://schemas.openxmlformats.org/officeDocument/2006/relationships/hyperlink" Target="mailto:ramouramanny@gmail.com" TargetMode="External"/><Relationship Id="rId9" Type="http://schemas.openxmlformats.org/officeDocument/2006/relationships/hyperlink" Target="mailto:murphyjim@gmail.com"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2060"/>
    <pageSetUpPr fitToPage="1"/>
  </sheetPr>
  <dimension ref="A1:Z1000"/>
  <sheetViews>
    <sheetView zoomScale="90" zoomScaleNormal="90" workbookViewId="0">
      <pane ySplit="3" topLeftCell="A4" activePane="bottomLeft" state="frozen"/>
      <selection pane="bottomLeft" activeCell="K8" sqref="K8"/>
    </sheetView>
  </sheetViews>
  <sheetFormatPr defaultRowHeight="15" x14ac:dyDescent="0.25"/>
  <cols>
    <col min="1" max="1" width="4.7109375" customWidth="1"/>
    <col min="2" max="4" width="12.7109375" style="1" customWidth="1"/>
    <col min="5" max="5" width="14.28515625" style="1" customWidth="1"/>
    <col min="6" max="6" width="10.7109375" style="1" customWidth="1"/>
    <col min="7" max="7" width="45.7109375" customWidth="1"/>
    <col min="8" max="8" width="25.7109375" style="30" customWidth="1"/>
    <col min="9" max="9" width="15.7109375" style="1" customWidth="1"/>
    <col min="10" max="10" width="15.7109375" style="30" customWidth="1"/>
    <col min="11" max="11" width="15.7109375" customWidth="1"/>
    <col min="12" max="12" width="9.140625" customWidth="1"/>
  </cols>
  <sheetData>
    <row r="1" spans="1:26" ht="30" customHeight="1" x14ac:dyDescent="0.35">
      <c r="A1" s="90" t="s">
        <v>217</v>
      </c>
      <c r="B1" s="83"/>
      <c r="C1" s="83"/>
      <c r="D1" s="83"/>
      <c r="E1" s="83"/>
      <c r="F1" s="83"/>
      <c r="G1" s="87" t="s">
        <v>206</v>
      </c>
      <c r="H1" s="88" t="s">
        <v>207</v>
      </c>
      <c r="I1" s="87" t="s">
        <v>208</v>
      </c>
      <c r="J1" s="88" t="s">
        <v>209</v>
      </c>
    </row>
    <row r="2" spans="1:26" ht="15" customHeight="1" x14ac:dyDescent="0.35">
      <c r="A2" s="90" t="s">
        <v>218</v>
      </c>
      <c r="B2" s="83"/>
      <c r="C2" s="83"/>
      <c r="D2" s="83"/>
      <c r="E2" s="83"/>
      <c r="F2" s="83"/>
      <c r="G2" s="86" t="s">
        <v>101</v>
      </c>
      <c r="H2" s="83"/>
      <c r="I2" s="83"/>
      <c r="J2" s="127">
        <v>7</v>
      </c>
    </row>
    <row r="3" spans="1:26" ht="15" customHeight="1" x14ac:dyDescent="0.25">
      <c r="A3" s="82"/>
      <c r="B3" s="83"/>
      <c r="C3" s="83"/>
      <c r="D3" s="83"/>
      <c r="E3" s="83"/>
      <c r="F3" s="83"/>
      <c r="G3" s="86" t="s">
        <v>102</v>
      </c>
      <c r="H3" s="86">
        <v>30</v>
      </c>
      <c r="I3" s="83"/>
      <c r="J3" s="83"/>
    </row>
    <row r="4" spans="1:26" ht="20.100000000000001" customHeight="1" x14ac:dyDescent="0.25">
      <c r="A4" s="29" t="s">
        <v>454</v>
      </c>
    </row>
    <row r="5" spans="1:26" s="34" customFormat="1" ht="30" customHeight="1" x14ac:dyDescent="0.25">
      <c r="B5" s="84" t="s">
        <v>7</v>
      </c>
      <c r="C5" s="84" t="s">
        <v>0</v>
      </c>
      <c r="D5" s="84" t="s">
        <v>1</v>
      </c>
      <c r="E5" s="84" t="s">
        <v>6</v>
      </c>
      <c r="F5" s="84" t="s">
        <v>2</v>
      </c>
      <c r="G5" s="84" t="s">
        <v>3</v>
      </c>
      <c r="H5" s="85" t="s">
        <v>4</v>
      </c>
      <c r="I5" s="84" t="s">
        <v>5</v>
      </c>
      <c r="J5" s="85" t="s">
        <v>444</v>
      </c>
    </row>
    <row r="6" spans="1:26" ht="15" customHeight="1" x14ac:dyDescent="0.25"/>
    <row r="7" spans="1:26" ht="20.100000000000001" customHeight="1" x14ac:dyDescent="0.25">
      <c r="A7" s="29" t="s">
        <v>445</v>
      </c>
    </row>
    <row r="8" spans="1:26" s="34" customFormat="1" ht="45" x14ac:dyDescent="0.25">
      <c r="B8" s="84" t="s">
        <v>15</v>
      </c>
      <c r="C8" s="84" t="s">
        <v>10</v>
      </c>
      <c r="D8" s="84" t="s">
        <v>0</v>
      </c>
      <c r="E8" s="84" t="s">
        <v>1</v>
      </c>
      <c r="F8" s="84" t="s">
        <v>2</v>
      </c>
      <c r="G8" s="84" t="s">
        <v>3</v>
      </c>
      <c r="H8" s="85" t="s">
        <v>4</v>
      </c>
      <c r="I8" s="84" t="s">
        <v>5</v>
      </c>
      <c r="J8" s="85" t="s">
        <v>6</v>
      </c>
      <c r="K8" s="84" t="s">
        <v>444</v>
      </c>
      <c r="L8"/>
    </row>
    <row r="9" spans="1:26" s="34" customFormat="1" ht="15" customHeight="1" x14ac:dyDescent="0.25">
      <c r="A9"/>
      <c r="B9" s="92">
        <v>43891</v>
      </c>
      <c r="C9" s="92">
        <v>43876</v>
      </c>
      <c r="D9" s="1" t="s">
        <v>25</v>
      </c>
      <c r="E9" s="1" t="s">
        <v>26</v>
      </c>
      <c r="F9" s="1" t="s">
        <v>27</v>
      </c>
      <c r="G9" t="s">
        <v>439</v>
      </c>
      <c r="H9" s="30" t="s">
        <v>195</v>
      </c>
      <c r="I9" s="1" t="s">
        <v>193</v>
      </c>
      <c r="J9" s="30" t="s">
        <v>120</v>
      </c>
      <c r="K9" t="s">
        <v>205</v>
      </c>
      <c r="L9"/>
      <c r="M9"/>
      <c r="N9"/>
      <c r="O9"/>
      <c r="P9"/>
      <c r="Q9"/>
      <c r="R9"/>
      <c r="S9"/>
      <c r="T9"/>
      <c r="U9"/>
      <c r="V9"/>
      <c r="W9"/>
      <c r="X9"/>
      <c r="Y9"/>
      <c r="Z9"/>
    </row>
    <row r="10" spans="1:26" s="34" customFormat="1" ht="15" customHeight="1" x14ac:dyDescent="0.25">
      <c r="A10"/>
      <c r="B10" s="92">
        <v>43997</v>
      </c>
      <c r="C10" s="92">
        <v>43983</v>
      </c>
      <c r="D10" s="1" t="s">
        <v>135</v>
      </c>
      <c r="E10" s="1" t="s">
        <v>134</v>
      </c>
      <c r="F10" s="1" t="s">
        <v>41</v>
      </c>
      <c r="G10" t="s">
        <v>439</v>
      </c>
      <c r="H10" s="30" t="s">
        <v>305</v>
      </c>
      <c r="I10" s="1" t="s">
        <v>137</v>
      </c>
      <c r="J10" t="s">
        <v>120</v>
      </c>
      <c r="K10" t="s">
        <v>104</v>
      </c>
      <c r="L10"/>
      <c r="M10"/>
      <c r="N10"/>
      <c r="O10"/>
      <c r="P10"/>
      <c r="Q10"/>
      <c r="R10"/>
      <c r="S10"/>
      <c r="T10"/>
      <c r="U10"/>
      <c r="V10"/>
      <c r="W10"/>
      <c r="X10"/>
      <c r="Y10"/>
      <c r="Z10"/>
    </row>
    <row r="11" spans="1:26" s="34" customFormat="1" ht="15" customHeight="1" x14ac:dyDescent="0.25">
      <c r="A11"/>
      <c r="B11" s="92">
        <v>44013</v>
      </c>
      <c r="C11" s="92">
        <v>44002</v>
      </c>
      <c r="D11" t="s">
        <v>135</v>
      </c>
      <c r="E11" s="1" t="s">
        <v>26</v>
      </c>
      <c r="F11" s="1" t="s">
        <v>27</v>
      </c>
      <c r="G11" t="s">
        <v>439</v>
      </c>
      <c r="H11" s="30" t="s">
        <v>210</v>
      </c>
      <c r="I11" t="s">
        <v>137</v>
      </c>
      <c r="J11" t="s">
        <v>120</v>
      </c>
      <c r="K11" t="s">
        <v>104</v>
      </c>
      <c r="L11"/>
      <c r="M11"/>
      <c r="N11"/>
      <c r="O11"/>
      <c r="P11"/>
      <c r="Q11"/>
      <c r="R11"/>
      <c r="S11"/>
      <c r="T11"/>
      <c r="U11"/>
      <c r="V11"/>
      <c r="W11"/>
      <c r="X11"/>
      <c r="Y11"/>
      <c r="Z11"/>
    </row>
    <row r="12" spans="1:26" s="34" customFormat="1" ht="15" customHeight="1" x14ac:dyDescent="0.25">
      <c r="A12"/>
      <c r="B12" s="1" t="s">
        <v>104</v>
      </c>
      <c r="C12" s="1" t="s">
        <v>104</v>
      </c>
      <c r="D12" s="1" t="s">
        <v>25</v>
      </c>
      <c r="E12" t="s">
        <v>26</v>
      </c>
      <c r="F12" s="1" t="s">
        <v>32</v>
      </c>
      <c r="G12" t="s">
        <v>439</v>
      </c>
      <c r="H12" t="s">
        <v>210</v>
      </c>
      <c r="I12" s="1" t="s">
        <v>104</v>
      </c>
      <c r="J12" s="30" t="s">
        <v>104</v>
      </c>
      <c r="K12" t="s">
        <v>104</v>
      </c>
      <c r="L12"/>
      <c r="M12"/>
      <c r="N12"/>
      <c r="O12"/>
      <c r="P12"/>
      <c r="Q12"/>
      <c r="R12"/>
      <c r="S12"/>
      <c r="T12"/>
      <c r="U12"/>
      <c r="V12"/>
      <c r="W12"/>
      <c r="X12"/>
      <c r="Y12"/>
      <c r="Z12"/>
    </row>
    <row r="13" spans="1:26" s="34" customFormat="1" ht="15" customHeight="1" x14ac:dyDescent="0.25">
      <c r="A13"/>
      <c r="B13" s="1"/>
      <c r="C13" s="1"/>
      <c r="D13" s="1"/>
      <c r="E13" s="1"/>
      <c r="F13" s="1"/>
      <c r="G13"/>
      <c r="H13" s="30"/>
      <c r="I13" s="1"/>
      <c r="J13" s="30"/>
      <c r="K13"/>
      <c r="L13"/>
      <c r="M13"/>
      <c r="N13"/>
      <c r="O13"/>
      <c r="P13"/>
      <c r="Q13"/>
      <c r="R13"/>
      <c r="S13"/>
      <c r="T13"/>
      <c r="U13"/>
      <c r="V13"/>
      <c r="W13"/>
      <c r="X13"/>
      <c r="Y13"/>
      <c r="Z13"/>
    </row>
    <row r="14" spans="1:26" s="34" customFormat="1" ht="20.100000000000001" customHeight="1" x14ac:dyDescent="0.25">
      <c r="A14" s="29" t="s">
        <v>446</v>
      </c>
      <c r="B14" s="1"/>
      <c r="C14" s="1"/>
      <c r="D14" s="1"/>
      <c r="E14" s="1"/>
      <c r="F14" s="1"/>
      <c r="G14"/>
      <c r="H14" s="30"/>
      <c r="I14" s="1"/>
      <c r="J14" s="30"/>
      <c r="K14"/>
      <c r="L14"/>
      <c r="M14"/>
      <c r="N14"/>
      <c r="O14"/>
      <c r="P14"/>
      <c r="Q14"/>
      <c r="R14"/>
      <c r="S14"/>
      <c r="T14"/>
      <c r="U14"/>
      <c r="V14"/>
      <c r="W14"/>
      <c r="X14"/>
      <c r="Y14"/>
      <c r="Z14"/>
    </row>
    <row r="15" spans="1:26" s="34" customFormat="1" ht="45" customHeight="1" x14ac:dyDescent="0.25">
      <c r="B15" s="84" t="s">
        <v>15</v>
      </c>
      <c r="C15" s="84" t="s">
        <v>10</v>
      </c>
      <c r="D15" s="84" t="s">
        <v>0</v>
      </c>
      <c r="E15" s="84" t="s">
        <v>1</v>
      </c>
      <c r="F15" s="84" t="s">
        <v>2</v>
      </c>
      <c r="G15" s="84" t="s">
        <v>3</v>
      </c>
      <c r="H15" s="85" t="s">
        <v>4</v>
      </c>
      <c r="I15" s="84" t="s">
        <v>5</v>
      </c>
      <c r="J15" s="85" t="s">
        <v>6</v>
      </c>
      <c r="K15" s="84" t="s">
        <v>444</v>
      </c>
    </row>
    <row r="16" spans="1:26" s="34" customFormat="1" ht="15" customHeight="1" x14ac:dyDescent="0.25">
      <c r="A16"/>
      <c r="B16" s="1" t="s">
        <v>104</v>
      </c>
      <c r="C16" s="92">
        <v>43876</v>
      </c>
      <c r="D16" s="1" t="s">
        <v>25</v>
      </c>
      <c r="E16" s="1" t="s">
        <v>26</v>
      </c>
      <c r="F16" s="1" t="s">
        <v>27</v>
      </c>
      <c r="G16" t="s">
        <v>439</v>
      </c>
      <c r="H16" s="30" t="s">
        <v>195</v>
      </c>
      <c r="I16" s="1" t="s">
        <v>193</v>
      </c>
      <c r="J16" s="30" t="s">
        <v>119</v>
      </c>
      <c r="K16" t="s">
        <v>104</v>
      </c>
      <c r="L16"/>
      <c r="M16"/>
      <c r="N16"/>
      <c r="O16"/>
      <c r="P16"/>
      <c r="Q16"/>
      <c r="R16"/>
      <c r="S16"/>
      <c r="T16"/>
      <c r="U16"/>
      <c r="V16"/>
      <c r="W16"/>
      <c r="X16"/>
      <c r="Y16"/>
      <c r="Z16"/>
    </row>
    <row r="17" spans="1:26" s="34" customFormat="1" ht="15" customHeight="1" x14ac:dyDescent="0.25">
      <c r="A17"/>
      <c r="B17" s="1"/>
      <c r="C17" s="92">
        <v>43997</v>
      </c>
      <c r="D17" s="1" t="s">
        <v>123</v>
      </c>
      <c r="E17" s="1" t="s">
        <v>134</v>
      </c>
      <c r="F17" s="1" t="s">
        <v>27</v>
      </c>
      <c r="G17" t="s">
        <v>439</v>
      </c>
      <c r="H17" s="30" t="s">
        <v>210</v>
      </c>
      <c r="I17" s="1" t="s">
        <v>138</v>
      </c>
      <c r="J17" s="30" t="s">
        <v>119</v>
      </c>
      <c r="K17" t="s">
        <v>104</v>
      </c>
      <c r="L17"/>
      <c r="M17"/>
      <c r="N17"/>
      <c r="O17"/>
      <c r="P17"/>
      <c r="Q17"/>
      <c r="R17"/>
      <c r="S17"/>
      <c r="T17"/>
      <c r="U17"/>
      <c r="V17"/>
      <c r="W17"/>
      <c r="X17"/>
      <c r="Y17"/>
      <c r="Z17"/>
    </row>
    <row r="18" spans="1:26" s="34" customFormat="1" ht="15" customHeight="1" x14ac:dyDescent="0.25">
      <c r="A18"/>
      <c r="B18" s="1"/>
      <c r="C18" s="92">
        <v>44002</v>
      </c>
      <c r="D18" s="1" t="s">
        <v>123</v>
      </c>
      <c r="E18" s="1" t="s">
        <v>26</v>
      </c>
      <c r="F18" s="1" t="s">
        <v>42</v>
      </c>
      <c r="G18" t="s">
        <v>439</v>
      </c>
      <c r="H18" s="30" t="s">
        <v>305</v>
      </c>
      <c r="I18" s="1" t="s">
        <v>138</v>
      </c>
      <c r="J18" s="30" t="s">
        <v>119</v>
      </c>
      <c r="K18" t="s">
        <v>104</v>
      </c>
      <c r="L18"/>
      <c r="M18"/>
      <c r="N18"/>
      <c r="O18"/>
      <c r="P18"/>
      <c r="Q18"/>
      <c r="R18"/>
      <c r="S18"/>
      <c r="T18"/>
      <c r="U18"/>
      <c r="V18"/>
      <c r="W18"/>
      <c r="X18"/>
      <c r="Y18"/>
      <c r="Z18"/>
    </row>
    <row r="19" spans="1:26" s="34" customFormat="1" ht="15" customHeight="1" x14ac:dyDescent="0.25">
      <c r="A19"/>
      <c r="B19" s="1"/>
      <c r="C19" s="1" t="s">
        <v>104</v>
      </c>
      <c r="D19" s="1" t="s">
        <v>25</v>
      </c>
      <c r="E19" s="1" t="s">
        <v>26</v>
      </c>
      <c r="F19" s="1" t="s">
        <v>32</v>
      </c>
      <c r="G19" t="s">
        <v>439</v>
      </c>
      <c r="H19" s="30" t="s">
        <v>210</v>
      </c>
      <c r="I19" s="1" t="s">
        <v>104</v>
      </c>
      <c r="J19" s="30" t="s">
        <v>104</v>
      </c>
      <c r="K19" t="s">
        <v>104</v>
      </c>
      <c r="L19"/>
      <c r="M19"/>
      <c r="N19"/>
      <c r="O19"/>
      <c r="P19"/>
      <c r="Q19"/>
      <c r="R19"/>
      <c r="S19"/>
      <c r="T19"/>
      <c r="U19"/>
      <c r="V19"/>
      <c r="W19"/>
      <c r="X19"/>
      <c r="Y19"/>
      <c r="Z19"/>
    </row>
    <row r="20" spans="1:26" ht="15" customHeight="1" x14ac:dyDescent="0.25"/>
    <row r="21" spans="1:26" ht="20.100000000000001" customHeight="1" x14ac:dyDescent="0.25">
      <c r="A21" s="29" t="s">
        <v>447</v>
      </c>
    </row>
    <row r="22" spans="1:26" s="34" customFormat="1" ht="30" customHeight="1" x14ac:dyDescent="0.25">
      <c r="B22" s="84" t="s">
        <v>0</v>
      </c>
      <c r="C22" s="84" t="s">
        <v>1</v>
      </c>
      <c r="D22" s="84" t="s">
        <v>7</v>
      </c>
      <c r="E22" s="84" t="s">
        <v>9</v>
      </c>
      <c r="F22" s="84" t="s">
        <v>2</v>
      </c>
      <c r="G22" s="84" t="s">
        <v>3</v>
      </c>
      <c r="H22" s="85" t="s">
        <v>4</v>
      </c>
      <c r="I22" s="84" t="s">
        <v>5</v>
      </c>
      <c r="J22" s="85" t="s">
        <v>444</v>
      </c>
    </row>
    <row r="23" spans="1:26" s="34" customFormat="1" ht="15" customHeight="1" x14ac:dyDescent="0.25">
      <c r="A23"/>
      <c r="B23" s="1" t="s">
        <v>25</v>
      </c>
      <c r="C23" s="1" t="s">
        <v>26</v>
      </c>
      <c r="D23" s="92">
        <v>43997</v>
      </c>
      <c r="E23" s="1" t="s">
        <v>325</v>
      </c>
      <c r="F23" s="1" t="s">
        <v>33</v>
      </c>
      <c r="G23" t="s">
        <v>439</v>
      </c>
      <c r="H23" s="30" t="s">
        <v>210</v>
      </c>
      <c r="I23" s="1" t="s">
        <v>137</v>
      </c>
      <c r="J23" s="30" t="s">
        <v>104</v>
      </c>
      <c r="K23"/>
      <c r="L23"/>
      <c r="M23"/>
      <c r="N23"/>
      <c r="O23"/>
      <c r="P23"/>
      <c r="Q23"/>
      <c r="R23"/>
      <c r="S23"/>
      <c r="T23"/>
      <c r="U23"/>
      <c r="V23"/>
      <c r="W23"/>
      <c r="X23"/>
      <c r="Y23"/>
      <c r="Z23"/>
    </row>
    <row r="24" spans="1:26" s="34" customFormat="1" ht="15" customHeight="1" x14ac:dyDescent="0.25">
      <c r="A24"/>
      <c r="B24" s="1"/>
      <c r="C24" s="1"/>
      <c r="D24" s="1"/>
      <c r="E24" s="1"/>
      <c r="F24" s="1"/>
      <c r="G24"/>
      <c r="H24" s="30"/>
      <c r="I24" s="1"/>
      <c r="J24" s="30"/>
      <c r="K24"/>
      <c r="L24"/>
      <c r="M24"/>
      <c r="N24"/>
      <c r="O24"/>
      <c r="P24"/>
      <c r="Q24"/>
      <c r="R24"/>
      <c r="S24"/>
      <c r="T24"/>
      <c r="U24"/>
      <c r="V24"/>
      <c r="W24"/>
      <c r="X24"/>
      <c r="Y24"/>
      <c r="Z24"/>
    </row>
    <row r="25" spans="1:26" s="34" customFormat="1" ht="15" customHeight="1" x14ac:dyDescent="0.25">
      <c r="A25"/>
      <c r="B25" s="1"/>
      <c r="C25" s="1"/>
      <c r="D25" s="1"/>
      <c r="E25" s="1"/>
      <c r="F25" s="1"/>
      <c r="G25"/>
      <c r="H25" s="30"/>
      <c r="I25" s="1"/>
      <c r="J25" s="30"/>
      <c r="K25"/>
      <c r="L25"/>
      <c r="M25"/>
      <c r="N25"/>
      <c r="O25"/>
      <c r="P25"/>
      <c r="Q25"/>
      <c r="R25"/>
      <c r="S25"/>
      <c r="T25"/>
      <c r="U25"/>
      <c r="V25"/>
      <c r="W25"/>
      <c r="X25"/>
      <c r="Y25"/>
      <c r="Z25"/>
    </row>
    <row r="26" spans="1:26" ht="15" customHeight="1" x14ac:dyDescent="0.25"/>
    <row r="27" spans="1:26" ht="15" customHeight="1" x14ac:dyDescent="0.25"/>
    <row r="28" spans="1:26" ht="15" customHeight="1" x14ac:dyDescent="0.25"/>
    <row r="29" spans="1:26" ht="15" customHeight="1" x14ac:dyDescent="0.25"/>
    <row r="30" spans="1:26" ht="15" customHeight="1" x14ac:dyDescent="0.25"/>
    <row r="31" spans="1:26" ht="15" customHeight="1" x14ac:dyDescent="0.25"/>
    <row r="32" spans="1:26"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conditionalFormatting sqref="J2">
    <cfRule type="cellIs" dxfId="538" priority="1" operator="greaterThan">
      <formula>0</formula>
    </cfRule>
  </conditionalFormatting>
  <dataValidations count="1">
    <dataValidation type="list" allowBlank="1" showInputMessage="1" showErrorMessage="1" sqref="H3">
      <formula1>"10, 15, 20, 30, 45, 60, 90, 120"</formula1>
    </dataValidation>
  </dataValidations>
  <pageMargins left="0.25" right="0.25" top="0.75" bottom="0.75" header="0.3" footer="0.3"/>
  <pageSetup scale="78" fitToHeight="0" orientation="landscape" r:id="rId5"/>
  <headerFooter>
    <oddHeader>&amp;C&amp;"-,Bold"&amp;14(U) SAM CDRL DashBoard
&amp;KFF0000Tables this Page:  UNCLASSIFIED&amp;R&amp;D, &amp;T</oddHeader>
    <oddFooter>&amp;L&amp;F, &amp;A&amp;C&amp;"-,Bold"&amp;14&amp;KFF0000Tables this Page:  UNCLASSIFIED&amp;RPage &amp;P of &amp;N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3077" r:id="rId8" name="Button 5">
              <controlPr defaultSize="0" print="0" autoFill="0" autoPict="0" macro="[0]!GotoTrackingWS">
                <anchor>
                  <from>
                    <xdr:col>2</xdr:col>
                    <xdr:colOff>152400</xdr:colOff>
                    <xdr:row>0</xdr:row>
                    <xdr:rowOff>133350</xdr:rowOff>
                  </from>
                  <to>
                    <xdr:col>3</xdr:col>
                    <xdr:colOff>171450</xdr:colOff>
                    <xdr:row>2</xdr:row>
                    <xdr:rowOff>19050</xdr:rowOff>
                  </to>
                </anchor>
              </controlPr>
            </control>
          </mc:Choice>
        </mc:AlternateContent>
        <mc:AlternateContent xmlns:mc="http://schemas.openxmlformats.org/markup-compatibility/2006">
          <mc:Choice Requires="x14">
            <control shapeId="3078" r:id="rId9" name="Button 6">
              <controlPr defaultSize="0" print="0" autoFill="0" autoPict="0" macro="[0]!PrintDashBoard">
                <anchor>
                  <from>
                    <xdr:col>3</xdr:col>
                    <xdr:colOff>352425</xdr:colOff>
                    <xdr:row>0</xdr:row>
                    <xdr:rowOff>133350</xdr:rowOff>
                  </from>
                  <to>
                    <xdr:col>4</xdr:col>
                    <xdr:colOff>352425</xdr:colOff>
                    <xdr:row>2</xdr:row>
                    <xdr:rowOff>19050</xdr:rowOff>
                  </to>
                </anchor>
              </controlPr>
            </control>
          </mc:Choice>
        </mc:AlternateContent>
        <mc:AlternateContent xmlns:mc="http://schemas.openxmlformats.org/markup-compatibility/2006">
          <mc:Choice Requires="x14">
            <control shapeId="3079" r:id="rId10" name="Button 7">
              <controlPr defaultSize="0" print="0" autoFill="0" autoPict="0" macro="[0]!ManualCreateDashboard">
                <anchor>
                  <from>
                    <xdr:col>4</xdr:col>
                    <xdr:colOff>533400</xdr:colOff>
                    <xdr:row>0</xdr:row>
                    <xdr:rowOff>133350</xdr:rowOff>
                  </from>
                  <to>
                    <xdr:col>5</xdr:col>
                    <xdr:colOff>457200</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OFFSET(LookUps!$S$2,0,0, COUNTA(LookUps!$S:$S),-1)</xm:f>
          </x14:formula1>
          <xm:sqref>G2</xm:sqref>
        </x14:dataValidation>
        <x14:dataValidation type="list" allowBlank="1" showInputMessage="1" showErrorMessage="1">
          <x14:formula1>
            <xm:f>OFFSET(LookUps!$T$2,0,0, COUNTA(LookUps!$T:$T),-1)</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Z27"/>
  <sheetViews>
    <sheetView tabSelected="1" topLeftCell="K1" zoomScaleNormal="100" workbookViewId="0">
      <pane ySplit="3" topLeftCell="A4" activePane="bottomLeft" state="frozen"/>
      <selection pane="bottomLeft" activeCell="AA4" sqref="AA4"/>
    </sheetView>
  </sheetViews>
  <sheetFormatPr defaultRowHeight="15" x14ac:dyDescent="0.25"/>
  <cols>
    <col min="1" max="1" width="5.7109375" style="1" customWidth="1"/>
    <col min="2" max="2" width="7.28515625" style="1" customWidth="1"/>
    <col min="3" max="3" width="8.7109375" style="1" customWidth="1"/>
    <col min="4" max="4" width="35.7109375" style="10" customWidth="1"/>
    <col min="5" max="5" width="22.5703125" customWidth="1"/>
    <col min="6" max="6" width="15.7109375" customWidth="1"/>
    <col min="7" max="7" width="19.7109375" customWidth="1"/>
    <col min="8" max="9" width="12.7109375" customWidth="1"/>
    <col min="10" max="10" width="15.7109375" customWidth="1"/>
    <col min="11" max="11" width="12.7109375" customWidth="1"/>
    <col min="12" max="12" width="10.7109375" customWidth="1"/>
    <col min="13" max="13" width="15.7109375" customWidth="1"/>
    <col min="14" max="14" width="12.7109375" customWidth="1"/>
    <col min="15" max="15" width="15.7109375" customWidth="1"/>
    <col min="16" max="16" width="12.7109375" customWidth="1"/>
    <col min="17" max="17" width="10.7109375" customWidth="1"/>
    <col min="18" max="18" width="12.7109375" customWidth="1"/>
    <col min="19" max="19" width="16.28515625" customWidth="1"/>
    <col min="20" max="20" width="12.7109375" customWidth="1"/>
    <col min="21" max="21" width="15.7109375" customWidth="1"/>
    <col min="22" max="22" width="10.7109375" customWidth="1"/>
    <col min="23" max="23" width="12.28515625" customWidth="1"/>
    <col min="24" max="24" width="19.7109375" customWidth="1"/>
    <col min="25" max="25" width="10.7109375" customWidth="1"/>
  </cols>
  <sheetData>
    <row r="1" spans="1:26" ht="66.75" customHeight="1" x14ac:dyDescent="0.25">
      <c r="A1" s="21"/>
      <c r="B1" s="21"/>
      <c r="C1" s="21"/>
      <c r="D1" s="23"/>
      <c r="E1" s="3"/>
      <c r="F1" s="3"/>
      <c r="G1" s="3"/>
      <c r="H1" s="3"/>
      <c r="I1" s="3"/>
      <c r="J1" s="3"/>
      <c r="K1" s="3"/>
      <c r="L1" s="3"/>
      <c r="M1" s="3"/>
      <c r="N1" s="3"/>
      <c r="O1" s="3"/>
      <c r="P1" s="3"/>
      <c r="Q1" s="3"/>
      <c r="R1" s="3"/>
      <c r="S1" s="3"/>
      <c r="T1" s="3"/>
      <c r="U1" s="3"/>
      <c r="V1" s="3"/>
      <c r="W1" s="3"/>
      <c r="X1" s="3"/>
      <c r="Y1" s="3"/>
    </row>
    <row r="2" spans="1:26" ht="19.5" customHeight="1" x14ac:dyDescent="0.25">
      <c r="A2" s="2">
        <f>SUBTOTAL(103, A4:A1057)</f>
        <v>20</v>
      </c>
      <c r="B2" s="7" t="s">
        <v>24</v>
      </c>
      <c r="C2" s="22"/>
      <c r="D2" s="24"/>
    </row>
    <row r="3" spans="1:26" s="6" customFormat="1" ht="117" customHeight="1" x14ac:dyDescent="0.25">
      <c r="A3" s="66" t="s">
        <v>0</v>
      </c>
      <c r="B3" s="66" t="s">
        <v>1</v>
      </c>
      <c r="C3" s="66" t="s">
        <v>2</v>
      </c>
      <c r="D3" s="66" t="s">
        <v>3</v>
      </c>
      <c r="E3" s="66" t="s">
        <v>4</v>
      </c>
      <c r="F3" s="66" t="s">
        <v>5</v>
      </c>
      <c r="G3" s="66" t="s">
        <v>6</v>
      </c>
      <c r="H3" s="67" t="s">
        <v>7</v>
      </c>
      <c r="I3" s="67" t="s">
        <v>8</v>
      </c>
      <c r="J3" s="67" t="s">
        <v>9</v>
      </c>
      <c r="K3" s="68" t="s">
        <v>10</v>
      </c>
      <c r="L3" s="68" t="s">
        <v>11</v>
      </c>
      <c r="M3" s="66" t="s">
        <v>12</v>
      </c>
      <c r="N3" s="66" t="s">
        <v>13</v>
      </c>
      <c r="O3" s="66" t="s">
        <v>14</v>
      </c>
      <c r="P3" s="66" t="s">
        <v>15</v>
      </c>
      <c r="Q3" s="66" t="s">
        <v>16</v>
      </c>
      <c r="R3" s="66" t="s">
        <v>17</v>
      </c>
      <c r="S3" s="66" t="s">
        <v>18</v>
      </c>
      <c r="T3" s="66" t="s">
        <v>219</v>
      </c>
      <c r="U3" s="66" t="s">
        <v>19</v>
      </c>
      <c r="V3" s="69" t="s">
        <v>20</v>
      </c>
      <c r="W3" s="69" t="s">
        <v>21</v>
      </c>
      <c r="X3" s="69" t="s">
        <v>444</v>
      </c>
      <c r="Y3" s="69" t="s">
        <v>22</v>
      </c>
      <c r="Z3" s="135" t="s">
        <v>455</v>
      </c>
    </row>
    <row r="4" spans="1:26" ht="15" customHeight="1" x14ac:dyDescent="0.25">
      <c r="A4" s="70" t="s">
        <v>123</v>
      </c>
      <c r="B4" s="70" t="s">
        <v>134</v>
      </c>
      <c r="C4" s="70" t="s">
        <v>27</v>
      </c>
      <c r="D4" s="78" t="str">
        <f>IFERROR(IF(OR(ISBLANK(Table2[[#This Row],[KTR]]),ISBLANK(Table2[[#This Row],[CLIN]]),ISBLANK(Table2[[#This Row],[CDRL ID]]))=TRUE,"",VLOOKUP(Table2[[#This Row],[KTR]]&amp;"|"&amp;Table2[[#This Row],[CLIN]]&amp;"|"&amp;Table2[[#This Row],[CDRL ID]],
Table4[],5,FALSE)),"ERROR: Title Not Found in LookUps")</f>
        <v>ERROR: Title Not Found in LookUps</v>
      </c>
      <c r="E4" s="72" t="s">
        <v>210</v>
      </c>
      <c r="F4" s="70" t="s">
        <v>138</v>
      </c>
      <c r="G4" s="70" t="s">
        <v>119</v>
      </c>
      <c r="H4" s="89">
        <v>44163</v>
      </c>
      <c r="I4" s="89">
        <v>44163</v>
      </c>
      <c r="J4" s="134"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4" s="131">
        <v>43997</v>
      </c>
      <c r="L4" s="79">
        <f ca="1">IF(Table2[[#This Row],[State]]="SETA Rvw", Table2[[#This Row],[SETA Review Team Due Date]]-TODAY(),"-")</f>
        <v>-228</v>
      </c>
      <c r="M4" s="70"/>
      <c r="N4" s="74"/>
      <c r="O4" s="75"/>
      <c r="P4" s="76"/>
      <c r="Q4"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4" s="74"/>
      <c r="S4"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4" s="70"/>
      <c r="U4" s="75"/>
      <c r="V4" s="74"/>
      <c r="W4" s="74"/>
      <c r="X4" s="75"/>
      <c r="Y4" s="80" t="str">
        <f ca="1">IF(Table2[[#This Row],[KTR OnTime/Late]] = "", "",
IF(LEFT(Table2[[#This Row],[KTR OnTime/Late]], 5) = "Early", "Early",
IF(LEFT(Table2[[#This Row],[KTR OnTime/Late]],4)="Late", "Late",
IF(LEFT(Table2[[#This Row],[KTR OnTime/Late]],5)="Ontim", "OnTime",
IF(LEFT(Table2[[#This Row],[KTR OnTime/Late]],5)="Pendi", "Pending","ERR")))))</f>
        <v>OnTime</v>
      </c>
    </row>
    <row r="5" spans="1:26" ht="15" customHeight="1" x14ac:dyDescent="0.25">
      <c r="A5" s="70" t="s">
        <v>123</v>
      </c>
      <c r="B5" s="70" t="s">
        <v>26</v>
      </c>
      <c r="C5" s="70" t="s">
        <v>42</v>
      </c>
      <c r="D5" s="78" t="str">
        <f>IFERROR(IF(OR(ISBLANK(Table2[[#This Row],[KTR]]),ISBLANK(Table2[[#This Row],[CLIN]]),ISBLANK(Table2[[#This Row],[CDRL ID]]))=TRUE,"",VLOOKUP(Table2[[#This Row],[KTR]]&amp;"|"&amp;Table2[[#This Row],[CLIN]]&amp;"|"&amp;Table2[[#This Row],[CDRL ID]],
Table4[],5,FALSE)),"ERROR: Title Not Found in LookUps")</f>
        <v>ERROR: Title Not Found in LookUps</v>
      </c>
      <c r="E5" s="72" t="s">
        <v>305</v>
      </c>
      <c r="F5" s="70" t="s">
        <v>138</v>
      </c>
      <c r="G5" s="70" t="s">
        <v>119</v>
      </c>
      <c r="H5" s="89">
        <v>43983</v>
      </c>
      <c r="I5" s="89">
        <v>43981</v>
      </c>
      <c r="J5"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2cd</v>
      </c>
      <c r="K5" s="131">
        <v>44002</v>
      </c>
      <c r="L5" s="79">
        <f ca="1">IF(Table2[[#This Row],[State]]="SETA Rvw", Table2[[#This Row],[SETA Review Team Due Date]]-TODAY(),"-")</f>
        <v>-223</v>
      </c>
      <c r="M5" s="70"/>
      <c r="N5" s="74"/>
      <c r="O5" s="75"/>
      <c r="P5" s="76"/>
      <c r="Q5"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5" s="74"/>
      <c r="S5"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5" s="70"/>
      <c r="U5" s="75"/>
      <c r="V5" s="74"/>
      <c r="W5" s="74"/>
      <c r="X5" s="75"/>
      <c r="Y5" s="80" t="str">
        <f ca="1">IF(Table2[[#This Row],[KTR OnTime/Late]] = "", "",
IF(LEFT(Table2[[#This Row],[KTR OnTime/Late]], 5) = "Early", "Early",
IF(LEFT(Table2[[#This Row],[KTR OnTime/Late]],4)="Late", "Late",
IF(LEFT(Table2[[#This Row],[KTR OnTime/Late]],5)="Ontim", "OnTime",
IF(LEFT(Table2[[#This Row],[KTR OnTime/Late]],5)="Pendi", "Pending","ERR")))))</f>
        <v>Early</v>
      </c>
    </row>
    <row r="6" spans="1:26" ht="15" customHeight="1" x14ac:dyDescent="0.25">
      <c r="A6" s="70" t="s">
        <v>135</v>
      </c>
      <c r="B6" s="70" t="s">
        <v>134</v>
      </c>
      <c r="C6" s="70" t="s">
        <v>41</v>
      </c>
      <c r="D6" s="78" t="str">
        <f>IFERROR(IF(OR(ISBLANK(Table2[[#This Row],[KTR]]),ISBLANK(Table2[[#This Row],[CLIN]]),ISBLANK(Table2[[#This Row],[CDRL ID]]))=TRUE,"",VLOOKUP(Table2[[#This Row],[KTR]]&amp;"|"&amp;Table2[[#This Row],[CLIN]]&amp;"|"&amp;Table2[[#This Row],[CDRL ID]],
Table4[],5,FALSE)),"ERROR: Title Not Found in LookUps")</f>
        <v>ERROR: Title Not Found in LookUps</v>
      </c>
      <c r="E6" s="72" t="s">
        <v>305</v>
      </c>
      <c r="F6" s="70" t="s">
        <v>137</v>
      </c>
      <c r="G6" s="70" t="s">
        <v>120</v>
      </c>
      <c r="H6" s="89">
        <v>43966</v>
      </c>
      <c r="I6" s="89">
        <v>43967</v>
      </c>
      <c r="J6"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 1cd</v>
      </c>
      <c r="K6" s="131">
        <v>43983</v>
      </c>
      <c r="L6" s="79" t="str">
        <f ca="1">IF(Table2[[#This Row],[State]]="SETA Rvw", Table2[[#This Row],[SETA Review Team Due Date]]-TODAY(),"-")</f>
        <v>-</v>
      </c>
      <c r="M6" s="70"/>
      <c r="N6" s="74"/>
      <c r="O6" s="75" t="s">
        <v>266</v>
      </c>
      <c r="P6" s="76">
        <v>43997</v>
      </c>
      <c r="Q6"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-228</v>
      </c>
      <c r="R6" s="74"/>
      <c r="S6"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6" s="70"/>
      <c r="U6" s="75"/>
      <c r="V6" s="74"/>
      <c r="W6" s="74"/>
      <c r="X6" s="75"/>
      <c r="Y6" s="80" t="str">
        <f ca="1">IF(Table2[[#This Row],[KTR OnTime/Late]] = "", "",
IF(LEFT(Table2[[#This Row],[KTR OnTime/Late]], 5) = "Early", "Early",
IF(LEFT(Table2[[#This Row],[KTR OnTime/Late]],4)="Late", "Late",
IF(LEFT(Table2[[#This Row],[KTR OnTime/Late]],5)="Ontim", "OnTime",
IF(LEFT(Table2[[#This Row],[KTR OnTime/Late]],5)="Pendi", "Pending","ERR")))))</f>
        <v>Late</v>
      </c>
    </row>
    <row r="7" spans="1:26" ht="15" customHeight="1" x14ac:dyDescent="0.25">
      <c r="A7" s="70" t="s">
        <v>135</v>
      </c>
      <c r="B7" s="70" t="s">
        <v>26</v>
      </c>
      <c r="C7" s="70" t="s">
        <v>27</v>
      </c>
      <c r="D7" s="78" t="str">
        <f>IFERROR(IF(OR(ISBLANK(Table2[[#This Row],[KTR]]),ISBLANK(Table2[[#This Row],[CLIN]]),ISBLANK(Table2[[#This Row],[CDRL ID]]))=TRUE,"",VLOOKUP(Table2[[#This Row],[KTR]]&amp;"|"&amp;Table2[[#This Row],[CLIN]]&amp;"|"&amp;Table2[[#This Row],[CDRL ID]],
Table4[],5,FALSE)),"ERROR: Title Not Found in LookUps")</f>
        <v>ERROR: Title Not Found in LookUps</v>
      </c>
      <c r="E7" s="72" t="s">
        <v>210</v>
      </c>
      <c r="F7" s="70" t="s">
        <v>137</v>
      </c>
      <c r="G7" s="70" t="s">
        <v>120</v>
      </c>
      <c r="H7" s="89">
        <v>43968</v>
      </c>
      <c r="I7" s="89">
        <v>43968</v>
      </c>
      <c r="J7"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7" s="131">
        <v>44002</v>
      </c>
      <c r="L7" s="79" t="str">
        <f ca="1">IF(Table2[[#This Row],[State]]="SETA Rvw", Table2[[#This Row],[SETA Review Team Due Date]]-TODAY(),"-")</f>
        <v>-</v>
      </c>
      <c r="M7" s="70"/>
      <c r="N7" s="74"/>
      <c r="O7" s="75" t="s">
        <v>266</v>
      </c>
      <c r="P7" s="76">
        <v>44013</v>
      </c>
      <c r="Q7"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-212</v>
      </c>
      <c r="R7" s="74"/>
      <c r="S7"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7" s="70"/>
      <c r="U7" s="75"/>
      <c r="V7" s="74"/>
      <c r="W7" s="74"/>
      <c r="X7" s="75"/>
      <c r="Y7" s="80" t="str">
        <f ca="1">IF(Table2[[#This Row],[KTR OnTime/Late]] = "", "",
IF(LEFT(Table2[[#This Row],[KTR OnTime/Late]], 5) = "Early", "Early",
IF(LEFT(Table2[[#This Row],[KTR OnTime/Late]],4)="Late", "Late",
IF(LEFT(Table2[[#This Row],[KTR OnTime/Late]],5)="Ontim", "OnTime",
IF(LEFT(Table2[[#This Row],[KTR OnTime/Late]],5)="Pendi", "Pending","ERR")))))</f>
        <v>OnTime</v>
      </c>
    </row>
    <row r="8" spans="1:26" ht="15" customHeight="1" x14ac:dyDescent="0.25">
      <c r="A8" s="70" t="s">
        <v>25</v>
      </c>
      <c r="B8" s="70" t="s">
        <v>26</v>
      </c>
      <c r="C8" s="70" t="s">
        <v>27</v>
      </c>
      <c r="D8" s="71" t="str">
        <f>IFERROR(IF(OR(ISBLANK(Table2[[#This Row],[KTR]]),ISBLANK(Table2[[#This Row],[CLIN]]),ISBLANK(Table2[[#This Row],[CDRL ID]]))=TRUE,"",VLOOKUP(Table2[[#This Row],[KTR]]&amp;"|"&amp;Table2[[#This Row],[CLIN]]&amp;"|"&amp;Table2[[#This Row],[CDRL ID]],
Table4[],5,FALSE)),"ERROR: Title Not Found in LookUps")</f>
        <v>ERROR: Title Not Found in LookUps</v>
      </c>
      <c r="E8" s="72" t="s">
        <v>28</v>
      </c>
      <c r="F8" s="70" t="s">
        <v>136</v>
      </c>
      <c r="G8" s="70" t="s">
        <v>121</v>
      </c>
      <c r="H8" s="89">
        <v>43739</v>
      </c>
      <c r="I8" s="89">
        <v>43739</v>
      </c>
      <c r="J8" s="73"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8" s="131">
        <v>43741</v>
      </c>
      <c r="L8" s="73" t="str">
        <f ca="1">IF(Table2[[#This Row],[State]]="SETA Rvw", Table2[[#This Row],[SETA Review Team Due Date]]-TODAY(),"-")</f>
        <v>-</v>
      </c>
      <c r="M8" s="70" t="s">
        <v>128</v>
      </c>
      <c r="N8" s="74">
        <v>43740</v>
      </c>
      <c r="O8" s="75"/>
      <c r="P8" s="76">
        <v>43740</v>
      </c>
      <c r="Q8" s="73"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8" s="74">
        <v>43740</v>
      </c>
      <c r="S8" s="73"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OnTime</v>
      </c>
      <c r="T8" s="70" t="s">
        <v>128</v>
      </c>
      <c r="U8" s="75" t="s">
        <v>196</v>
      </c>
      <c r="V8" s="74">
        <v>43740</v>
      </c>
      <c r="W8" s="74">
        <v>43741</v>
      </c>
      <c r="X8" s="75" t="s">
        <v>199</v>
      </c>
      <c r="Y8" s="77" t="str">
        <f ca="1">IF(Table2[[#This Row],[KTR OnTime/Late]] = "", "",
IF(LEFT(Table2[[#This Row],[KTR OnTime/Late]], 5) = "Early", "Early",
IF(LEFT(Table2[[#This Row],[KTR OnTime/Late]],4)="Late", "Late",
IF(LEFT(Table2[[#This Row],[KTR OnTime/Late]],5)="Ontim", "OnTime",
IF(LEFT(Table2[[#This Row],[KTR OnTime/Late]],5)="Pendi", "Pending","ERR")))))</f>
        <v>OnTime</v>
      </c>
    </row>
    <row r="9" spans="1:26" ht="15" customHeight="1" x14ac:dyDescent="0.25">
      <c r="A9" s="70" t="s">
        <v>25</v>
      </c>
      <c r="B9" s="70" t="s">
        <v>26</v>
      </c>
      <c r="C9" s="70" t="s">
        <v>27</v>
      </c>
      <c r="D9" s="71" t="str">
        <f>IFERROR(IF(OR(ISBLANK(Table2[[#This Row],[KTR]]),ISBLANK(Table2[[#This Row],[CLIN]]),ISBLANK(Table2[[#This Row],[CDRL ID]]))=TRUE,"",VLOOKUP(Table2[[#This Row],[KTR]]&amp;"|"&amp;Table2[[#This Row],[CLIN]]&amp;"|"&amp;Table2[[#This Row],[CDRL ID]],
Table4[],5,FALSE)),"ERROR: Title Not Found in LookUps")</f>
        <v>ERROR: Title Not Found in LookUps</v>
      </c>
      <c r="E9" s="72" t="s">
        <v>28</v>
      </c>
      <c r="F9" s="70" t="s">
        <v>138</v>
      </c>
      <c r="G9" s="70" t="s">
        <v>121</v>
      </c>
      <c r="H9" s="89">
        <v>43741</v>
      </c>
      <c r="I9" s="89">
        <v>43742</v>
      </c>
      <c r="J9" s="73"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 1cd</v>
      </c>
      <c r="K9" s="131">
        <v>43742</v>
      </c>
      <c r="L9" s="73" t="str">
        <f ca="1">IF(Table2[[#This Row],[State]]="SETA Rvw", Table2[[#This Row],[SETA Review Team Due Date]]-TODAY(),"-")</f>
        <v>-</v>
      </c>
      <c r="M9" s="70" t="s">
        <v>128</v>
      </c>
      <c r="N9" s="74">
        <v>43742</v>
      </c>
      <c r="O9" s="75"/>
      <c r="P9" s="76"/>
      <c r="Q9" s="73"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9" s="74"/>
      <c r="S9" s="73"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9" s="70"/>
      <c r="U9" s="75"/>
      <c r="V9" s="74"/>
      <c r="W9" s="74">
        <v>43745</v>
      </c>
      <c r="X9" s="75" t="s">
        <v>200</v>
      </c>
      <c r="Y9" s="77" t="str">
        <f ca="1">IF(Table2[[#This Row],[KTR OnTime/Late]] = "", "",
IF(LEFT(Table2[[#This Row],[KTR OnTime/Late]], 5) = "Early", "Early",
IF(LEFT(Table2[[#This Row],[KTR OnTime/Late]],4)="Late", "Late",
IF(LEFT(Table2[[#This Row],[KTR OnTime/Late]],5)="Ontim", "OnTime",
IF(LEFT(Table2[[#This Row],[KTR OnTime/Late]],5)="Pendi", "Pending","ERR")))))</f>
        <v>Late</v>
      </c>
    </row>
    <row r="10" spans="1:26" ht="15" customHeight="1" x14ac:dyDescent="0.25">
      <c r="A10" s="70" t="s">
        <v>25</v>
      </c>
      <c r="B10" s="70" t="s">
        <v>26</v>
      </c>
      <c r="C10" s="70" t="s">
        <v>27</v>
      </c>
      <c r="D10" s="78" t="str">
        <f>IFERROR(IF(OR(ISBLANK(Table2[[#This Row],[KTR]]),ISBLANK(Table2[[#This Row],[CLIN]]),ISBLANK(Table2[[#This Row],[CDRL ID]]))=TRUE,"",VLOOKUP(Table2[[#This Row],[KTR]]&amp;"|"&amp;Table2[[#This Row],[CLIN]]&amp;"|"&amp;Table2[[#This Row],[CDRL ID]],
Table4[],5,FALSE)),"ERROR: Title Not Found in LookUps")</f>
        <v>ERROR: Title Not Found in LookUps</v>
      </c>
      <c r="E10" s="72" t="s">
        <v>28</v>
      </c>
      <c r="F10" s="70" t="s">
        <v>139</v>
      </c>
      <c r="G10" s="70" t="s">
        <v>121</v>
      </c>
      <c r="H10" s="89">
        <v>43745</v>
      </c>
      <c r="I10" s="89">
        <v>43745</v>
      </c>
      <c r="J10"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10" s="131"/>
      <c r="L10" s="79" t="str">
        <f ca="1">IF(Table2[[#This Row],[State]]="SETA Rvw", Table2[[#This Row],[SETA Review Team Due Date]]-TODAY(),"-")</f>
        <v>-</v>
      </c>
      <c r="M10" s="70"/>
      <c r="N10" s="70"/>
      <c r="O10" s="75"/>
      <c r="P10" s="76"/>
      <c r="Q10"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0" s="74"/>
      <c r="S10"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0" s="70"/>
      <c r="U10" s="75"/>
      <c r="V10" s="74"/>
      <c r="W10" s="74"/>
      <c r="X10" s="75" t="s">
        <v>201</v>
      </c>
      <c r="Y10" s="80" t="str">
        <f ca="1">IF(Table2[[#This Row],[KTR OnTime/Late]] = "", "",
IF(LEFT(Table2[[#This Row],[KTR OnTime/Late]], 5) = "Early", "Early",
IF(LEFT(Table2[[#This Row],[KTR OnTime/Late]],4)="Late", "Late",
IF(LEFT(Table2[[#This Row],[KTR OnTime/Late]],5)="Ontim", "OnTime",
IF(LEFT(Table2[[#This Row],[KTR OnTime/Late]],5)="Pendi", "Pending","ERR")))))</f>
        <v>OnTime</v>
      </c>
    </row>
    <row r="11" spans="1:26" ht="15" customHeight="1" x14ac:dyDescent="0.25">
      <c r="A11" s="70" t="s">
        <v>25</v>
      </c>
      <c r="B11" s="70" t="s">
        <v>26</v>
      </c>
      <c r="C11" s="70" t="s">
        <v>27</v>
      </c>
      <c r="D11" s="78" t="str">
        <f>IFERROR(IF(OR(ISBLANK(Table2[[#This Row],[KTR]]),ISBLANK(Table2[[#This Row],[CLIN]]),ISBLANK(Table2[[#This Row],[CDRL ID]]))=TRUE,"",VLOOKUP(Table2[[#This Row],[KTR]]&amp;"|"&amp;Table2[[#This Row],[CLIN]]&amp;"|"&amp;Table2[[#This Row],[CDRL ID]],
Table4[],5,FALSE)),"ERROR: Title Not Found in LookUps")</f>
        <v>ERROR: Title Not Found in LookUps</v>
      </c>
      <c r="E11" s="72" t="s">
        <v>28</v>
      </c>
      <c r="F11" s="70" t="s">
        <v>193</v>
      </c>
      <c r="G11" s="70" t="s">
        <v>121</v>
      </c>
      <c r="H11" s="89">
        <v>43754</v>
      </c>
      <c r="I11" s="89">
        <v>43753</v>
      </c>
      <c r="J11"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1" s="131">
        <v>43770</v>
      </c>
      <c r="L11" s="79" t="str">
        <f ca="1">IF(Table2[[#This Row],[State]]="SETA Rvw", Table2[[#This Row],[SETA Review Team Due Date]]-TODAY(),"-")</f>
        <v>-</v>
      </c>
      <c r="M11" s="70" t="s">
        <v>125</v>
      </c>
      <c r="N11" s="70"/>
      <c r="O11" s="75" t="s">
        <v>266</v>
      </c>
      <c r="P11" s="76">
        <v>43784</v>
      </c>
      <c r="Q11"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1" s="74">
        <v>43783</v>
      </c>
      <c r="S11"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Early 1cd</v>
      </c>
      <c r="T11" s="70" t="s">
        <v>125</v>
      </c>
      <c r="U11" s="75" t="s">
        <v>275</v>
      </c>
      <c r="V11" s="74">
        <v>43781</v>
      </c>
      <c r="W11" s="74"/>
      <c r="X11" s="75" t="s">
        <v>276</v>
      </c>
      <c r="Y11" s="80" t="str">
        <f ca="1">IF(Table2[[#This Row],[KTR OnTime/Late]] = "", "",
IF(LEFT(Table2[[#This Row],[KTR OnTime/Late]], 5) = "Early", "Early",
IF(LEFT(Table2[[#This Row],[KTR OnTime/Late]],4)="Late", "Late",
IF(LEFT(Table2[[#This Row],[KTR OnTime/Late]],5)="Ontim", "OnTime",
IF(LEFT(Table2[[#This Row],[KTR OnTime/Late]],5)="Pendi", "Pending","ERR")))))</f>
        <v>Early</v>
      </c>
    </row>
    <row r="12" spans="1:26" ht="15" customHeight="1" x14ac:dyDescent="0.25">
      <c r="A12" s="70" t="s">
        <v>25</v>
      </c>
      <c r="B12" s="70" t="s">
        <v>26</v>
      </c>
      <c r="C12" s="70" t="s">
        <v>27</v>
      </c>
      <c r="D12" s="78" t="str">
        <f>IFERROR(IF(OR(ISBLANK(Table2[[#This Row],[KTR]]),ISBLANK(Table2[[#This Row],[CLIN]]),ISBLANK(Table2[[#This Row],[CDRL ID]]))=TRUE,"",VLOOKUP(Table2[[#This Row],[KTR]]&amp;"|"&amp;Table2[[#This Row],[CLIN]]&amp;"|"&amp;Table2[[#This Row],[CDRL ID]],
Table4[],5,FALSE)),"ERROR: Title Not Found in LookUps")</f>
        <v>ERROR: Title Not Found in LookUps</v>
      </c>
      <c r="E12" s="72" t="s">
        <v>191</v>
      </c>
      <c r="F12" s="70" t="s">
        <v>136</v>
      </c>
      <c r="G12" s="70" t="s">
        <v>121</v>
      </c>
      <c r="H12" s="89">
        <v>43776</v>
      </c>
      <c r="I12" s="89">
        <v>43776</v>
      </c>
      <c r="J12"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12" s="131">
        <v>43780</v>
      </c>
      <c r="L12" s="79" t="str">
        <f ca="1">IF(Table2[[#This Row],[State]]="SETA Rvw", Table2[[#This Row],[SETA Review Team Due Date]]-TODAY(),"-")</f>
        <v>-</v>
      </c>
      <c r="M12" s="70" t="s">
        <v>128</v>
      </c>
      <c r="N12" s="74">
        <v>43781</v>
      </c>
      <c r="O12" s="75" t="s">
        <v>266</v>
      </c>
      <c r="P12" s="76"/>
      <c r="Q12"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2" s="74"/>
      <c r="S12"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2" s="70"/>
      <c r="U12" s="75"/>
      <c r="V12" s="74"/>
      <c r="W12" s="74"/>
      <c r="X12" s="75" t="s">
        <v>202</v>
      </c>
      <c r="Y12" s="80" t="str">
        <f ca="1">IF(Table2[[#This Row],[KTR OnTime/Late]] = "", "",
IF(LEFT(Table2[[#This Row],[KTR OnTime/Late]], 5) = "Early", "Early",
IF(LEFT(Table2[[#This Row],[KTR OnTime/Late]],4)="Late", "Late",
IF(LEFT(Table2[[#This Row],[KTR OnTime/Late]],5)="Ontim", "OnTime",
IF(LEFT(Table2[[#This Row],[KTR OnTime/Late]],5)="Pendi", "Pending","ERR")))))</f>
        <v>OnTime</v>
      </c>
    </row>
    <row r="13" spans="1:26" ht="15" customHeight="1" x14ac:dyDescent="0.25">
      <c r="A13" s="70" t="s">
        <v>25</v>
      </c>
      <c r="B13" s="70" t="s">
        <v>26</v>
      </c>
      <c r="C13" s="70" t="s">
        <v>27</v>
      </c>
      <c r="D13" s="78" t="str">
        <f>IFERROR(IF(OR(ISBLANK(Table2[[#This Row],[KTR]]),ISBLANK(Table2[[#This Row],[CLIN]]),ISBLANK(Table2[[#This Row],[CDRL ID]]))=TRUE,"",VLOOKUP(Table2[[#This Row],[KTR]]&amp;"|"&amp;Table2[[#This Row],[CLIN]]&amp;"|"&amp;Table2[[#This Row],[CDRL ID]],
Table4[],5,FALSE)),"ERROR: Title Not Found in LookUps")</f>
        <v>ERROR: Title Not Found in LookUps</v>
      </c>
      <c r="E13" s="72" t="s">
        <v>192</v>
      </c>
      <c r="F13" s="70" t="s">
        <v>136</v>
      </c>
      <c r="G13" s="70" t="s">
        <v>121</v>
      </c>
      <c r="H13" s="89">
        <v>43787</v>
      </c>
      <c r="I13" s="89">
        <v>43784</v>
      </c>
      <c r="J13"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3cd</v>
      </c>
      <c r="K13" s="131">
        <v>43788</v>
      </c>
      <c r="L13" s="79" t="str">
        <f ca="1">IF(Table2[[#This Row],[State]]="SETA Rvw", Table2[[#This Row],[SETA Review Team Due Date]]-TODAY(),"-")</f>
        <v>-</v>
      </c>
      <c r="M13" s="70" t="s">
        <v>128</v>
      </c>
      <c r="N13" s="74">
        <v>43789</v>
      </c>
      <c r="O13" s="75" t="s">
        <v>266</v>
      </c>
      <c r="P13" s="76">
        <v>43818</v>
      </c>
      <c r="Q13"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-407</v>
      </c>
      <c r="R13" s="74"/>
      <c r="S13"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13" s="70"/>
      <c r="U13" s="75" t="s">
        <v>197</v>
      </c>
      <c r="V13" s="74"/>
      <c r="W13" s="74"/>
      <c r="X13" s="75" t="s">
        <v>203</v>
      </c>
      <c r="Y13" s="80" t="str">
        <f ca="1">IF(Table2[[#This Row],[KTR OnTime/Late]] = "", "",
IF(LEFT(Table2[[#This Row],[KTR OnTime/Late]], 5) = "Early", "Early",
IF(LEFT(Table2[[#This Row],[KTR OnTime/Late]],4)="Late", "Late",
IF(LEFT(Table2[[#This Row],[KTR OnTime/Late]],5)="Ontim", "OnTime",
IF(LEFT(Table2[[#This Row],[KTR OnTime/Late]],5)="Pendi", "Pending","ERR")))))</f>
        <v>Early</v>
      </c>
    </row>
    <row r="14" spans="1:26" ht="15" customHeight="1" x14ac:dyDescent="0.25">
      <c r="A14" s="70" t="s">
        <v>25</v>
      </c>
      <c r="B14" s="81" t="s">
        <v>26</v>
      </c>
      <c r="C14" s="81" t="s">
        <v>27</v>
      </c>
      <c r="D14" s="78" t="str">
        <f>IFERROR(IF(OR(ISBLANK(Table2[[#This Row],[KTR]]),ISBLANK(Table2[[#This Row],[CLIN]]),ISBLANK(Table2[[#This Row],[CDRL ID]]))=TRUE,"",VLOOKUP(Table2[[#This Row],[KTR]]&amp;"|"&amp;Table2[[#This Row],[CLIN]]&amp;"|"&amp;Table2[[#This Row],[CDRL ID]],
Table4[],5,FALSE)),"ERROR: Title Not Found in LookUps")</f>
        <v>ERROR: Title Not Found in LookUps</v>
      </c>
      <c r="E14" s="72" t="s">
        <v>195</v>
      </c>
      <c r="F14" s="70" t="s">
        <v>193</v>
      </c>
      <c r="G14" s="70" t="s">
        <v>119</v>
      </c>
      <c r="H14" s="89">
        <v>43859</v>
      </c>
      <c r="I14" s="89">
        <v>43858</v>
      </c>
      <c r="J14"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4" s="131">
        <v>43876</v>
      </c>
      <c r="L14" s="79">
        <f ca="1">IF(Table2[[#This Row],[State]]="SETA Rvw", Table2[[#This Row],[SETA Review Team Due Date]]-TODAY(),"-")</f>
        <v>-349</v>
      </c>
      <c r="M14" s="70"/>
      <c r="N14" s="74">
        <v>43810</v>
      </c>
      <c r="O14" s="75"/>
      <c r="P14" s="76"/>
      <c r="Q14"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4" s="74">
        <v>43815</v>
      </c>
      <c r="S14"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4" s="70"/>
      <c r="U14" s="75"/>
      <c r="V14" s="74"/>
      <c r="W14" s="74"/>
      <c r="X14" s="75"/>
      <c r="Y14" s="80" t="str">
        <f ca="1">IF(Table2[[#This Row],[KTR OnTime/Late]] = "", "",
IF(LEFT(Table2[[#This Row],[KTR OnTime/Late]], 5) = "Early", "Early",
IF(LEFT(Table2[[#This Row],[KTR OnTime/Late]],4)="Late", "Late",
IF(LEFT(Table2[[#This Row],[KTR OnTime/Late]],5)="Ontim", "OnTime",
IF(LEFT(Table2[[#This Row],[KTR OnTime/Late]],5)="Pendi", "Pending","ERR")))))</f>
        <v>Early</v>
      </c>
    </row>
    <row r="15" spans="1:26" ht="15" customHeight="1" x14ac:dyDescent="0.25">
      <c r="A15" s="70" t="s">
        <v>25</v>
      </c>
      <c r="B15" s="70" t="s">
        <v>26</v>
      </c>
      <c r="C15" s="70" t="s">
        <v>27</v>
      </c>
      <c r="D15" s="78" t="str">
        <f>IFERROR(IF(OR(ISBLANK(Table2[[#This Row],[KTR]]),ISBLANK(Table2[[#This Row],[CLIN]]),ISBLANK(Table2[[#This Row],[CDRL ID]]))=TRUE,"",VLOOKUP(Table2[[#This Row],[KTR]]&amp;"|"&amp;Table2[[#This Row],[CLIN]]&amp;"|"&amp;Table2[[#This Row],[CDRL ID]],
Table4[],5,FALSE)),"ERROR: Title Not Found in LookUps")</f>
        <v>ERROR: Title Not Found in LookUps</v>
      </c>
      <c r="E15" s="72" t="s">
        <v>195</v>
      </c>
      <c r="F15" s="70" t="s">
        <v>193</v>
      </c>
      <c r="G15" s="70" t="s">
        <v>120</v>
      </c>
      <c r="H15" s="89">
        <v>43859</v>
      </c>
      <c r="I15" s="89">
        <v>43858</v>
      </c>
      <c r="J15"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5" s="131">
        <v>43876</v>
      </c>
      <c r="L15" s="79" t="str">
        <f ca="1">IF(Table2[[#This Row],[State]]="SETA Rvw", Table2[[#This Row],[SETA Review Team Due Date]]-TODAY(),"-")</f>
        <v>-</v>
      </c>
      <c r="M15" s="70" t="s">
        <v>128</v>
      </c>
      <c r="N15" s="74">
        <v>43851</v>
      </c>
      <c r="O15" s="75" t="s">
        <v>266</v>
      </c>
      <c r="P15" s="76">
        <v>43891</v>
      </c>
      <c r="Q15"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-334</v>
      </c>
      <c r="R15" s="74"/>
      <c r="S15"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15" s="70" t="s">
        <v>309</v>
      </c>
      <c r="U15" s="75"/>
      <c r="V15" s="74"/>
      <c r="W15" s="74">
        <v>43905</v>
      </c>
      <c r="X15" s="75" t="s">
        <v>205</v>
      </c>
      <c r="Y15" s="80" t="str">
        <f ca="1">IF(Table2[[#This Row],[KTR OnTime/Late]] = "", "",
IF(LEFT(Table2[[#This Row],[KTR OnTime/Late]], 5) = "Early", "Early",
IF(LEFT(Table2[[#This Row],[KTR OnTime/Late]],4)="Late", "Late",
IF(LEFT(Table2[[#This Row],[KTR OnTime/Late]],5)="Ontim", "OnTime",
IF(LEFT(Table2[[#This Row],[KTR OnTime/Late]],5)="Pendi", "Pending","ERR")))))</f>
        <v>Early</v>
      </c>
    </row>
    <row r="16" spans="1:26" ht="15" customHeight="1" x14ac:dyDescent="0.25">
      <c r="A16" s="70" t="s">
        <v>25</v>
      </c>
      <c r="B16" s="70" t="s">
        <v>26</v>
      </c>
      <c r="C16" s="70" t="s">
        <v>27</v>
      </c>
      <c r="D16" s="78" t="str">
        <f>IFERROR(IF(OR(ISBLANK(Table2[[#This Row],[KTR]]),ISBLANK(Table2[[#This Row],[CLIN]]),ISBLANK(Table2[[#This Row],[CDRL ID]]))=TRUE,"",VLOOKUP(Table2[[#This Row],[KTR]]&amp;"|"&amp;Table2[[#This Row],[CLIN]]&amp;"|"&amp;Table2[[#This Row],[CDRL ID]],
Table4[],5,FALSE)),"ERROR: Title Not Found in LookUps")</f>
        <v>ERROR: Title Not Found in LookUps</v>
      </c>
      <c r="E16" s="72" t="s">
        <v>194</v>
      </c>
      <c r="F16" s="70" t="s">
        <v>136</v>
      </c>
      <c r="G16" s="70" t="s">
        <v>121</v>
      </c>
      <c r="H16" s="89">
        <v>43901</v>
      </c>
      <c r="I16" s="89">
        <v>43900</v>
      </c>
      <c r="J16"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6" s="131">
        <v>43920</v>
      </c>
      <c r="L16" s="79" t="str">
        <f ca="1">IF(Table2[[#This Row],[State]]="SETA Rvw", Table2[[#This Row],[SETA Review Team Due Date]]-TODAY(),"-")</f>
        <v>-</v>
      </c>
      <c r="M16" s="70"/>
      <c r="N16" s="74"/>
      <c r="O16" s="75" t="s">
        <v>266</v>
      </c>
      <c r="P16" s="76">
        <v>43932</v>
      </c>
      <c r="Q16"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6" s="74">
        <v>43790</v>
      </c>
      <c r="S16"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Early 142cd</v>
      </c>
      <c r="T16" s="70" t="s">
        <v>309</v>
      </c>
      <c r="U16" s="75" t="s">
        <v>198</v>
      </c>
      <c r="V16" s="74"/>
      <c r="W16" s="74">
        <v>43932</v>
      </c>
      <c r="X16" s="75" t="s">
        <v>204</v>
      </c>
      <c r="Y16" s="80" t="str">
        <f ca="1">IF(Table2[[#This Row],[KTR OnTime/Late]] = "", "",
IF(LEFT(Table2[[#This Row],[KTR OnTime/Late]], 5) = "Early", "Early",
IF(LEFT(Table2[[#This Row],[KTR OnTime/Late]],4)="Late", "Late",
IF(LEFT(Table2[[#This Row],[KTR OnTime/Late]],5)="Ontim", "OnTime",
IF(LEFT(Table2[[#This Row],[KTR OnTime/Late]],5)="Pendi", "Pending","ERR")))))</f>
        <v>Early</v>
      </c>
    </row>
    <row r="17" spans="1:25" ht="15" customHeight="1" x14ac:dyDescent="0.25">
      <c r="A17" s="70" t="s">
        <v>25</v>
      </c>
      <c r="B17" s="70" t="s">
        <v>26</v>
      </c>
      <c r="C17" s="70" t="s">
        <v>32</v>
      </c>
      <c r="D17" s="78" t="str">
        <f>IFERROR(IF(OR(ISBLANK(Table2[[#This Row],[KTR]]),ISBLANK(Table2[[#This Row],[CLIN]]),ISBLANK(Table2[[#This Row],[CDRL ID]]))=TRUE,"",VLOOKUP(Table2[[#This Row],[KTR]]&amp;"|"&amp;Table2[[#This Row],[CLIN]]&amp;"|"&amp;Table2[[#This Row],[CDRL ID]],
Table4[],5,FALSE)),"ERROR: Title Not Found in LookUps")</f>
        <v>ERROR: Title Not Found in LookUps</v>
      </c>
      <c r="E17" s="72" t="s">
        <v>210</v>
      </c>
      <c r="F17" s="70" t="s">
        <v>137</v>
      </c>
      <c r="G17" s="70" t="s">
        <v>121</v>
      </c>
      <c r="H17" s="89">
        <v>43956</v>
      </c>
      <c r="I17" s="89">
        <v>43954</v>
      </c>
      <c r="J17"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2cd</v>
      </c>
      <c r="K17" s="131">
        <v>43967</v>
      </c>
      <c r="L17" s="79" t="str">
        <f ca="1">IF(Table2[[#This Row],[State]]="SETA Rvw", Table2[[#This Row],[SETA Review Team Due Date]]-TODAY(),"-")</f>
        <v>-</v>
      </c>
      <c r="M17" s="70" t="s">
        <v>126</v>
      </c>
      <c r="N17" s="74">
        <v>43971</v>
      </c>
      <c r="O17" s="75" t="s">
        <v>276</v>
      </c>
      <c r="P17" s="76">
        <v>43976</v>
      </c>
      <c r="Q17"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7" s="74">
        <v>43978</v>
      </c>
      <c r="S17"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 2cd</v>
      </c>
      <c r="T17" s="70" t="s">
        <v>128</v>
      </c>
      <c r="U17" s="75" t="s">
        <v>275</v>
      </c>
      <c r="V17" s="74">
        <v>43977</v>
      </c>
      <c r="W17" s="74">
        <v>44012</v>
      </c>
      <c r="X17" s="75" t="s">
        <v>308</v>
      </c>
      <c r="Y17" s="80" t="str">
        <f ca="1">IF(Table2[[#This Row],[KTR OnTime/Late]] = "", "",
IF(LEFT(Table2[[#This Row],[KTR OnTime/Late]], 5) = "Early", "Early",
IF(LEFT(Table2[[#This Row],[KTR OnTime/Late]],4)="Late", "Late",
IF(LEFT(Table2[[#This Row],[KTR OnTime/Late]],5)="Ontim", "OnTime",
IF(LEFT(Table2[[#This Row],[KTR OnTime/Late]],5)="Pendi", "Pending","ERR")))))</f>
        <v>Early</v>
      </c>
    </row>
    <row r="18" spans="1:25" ht="15" customHeight="1" x14ac:dyDescent="0.25">
      <c r="A18" s="70" t="s">
        <v>25</v>
      </c>
      <c r="B18" s="70" t="s">
        <v>26</v>
      </c>
      <c r="C18" s="70" t="s">
        <v>32</v>
      </c>
      <c r="D18" s="78" t="str">
        <f>IFERROR(IF(OR(ISBLANK(Table2[[#This Row],[KTR]]),ISBLANK(Table2[[#This Row],[CLIN]]),ISBLANK(Table2[[#This Row],[CDRL ID]]))=TRUE,"",VLOOKUP(Table2[[#This Row],[KTR]]&amp;"|"&amp;Table2[[#This Row],[CLIN]]&amp;"|"&amp;Table2[[#This Row],[CDRL ID]],
Table4[],5,FALSE)),"ERROR: Title Not Found in LookUps")</f>
        <v>ERROR: Title Not Found in LookUps</v>
      </c>
      <c r="E18" s="72" t="s">
        <v>210</v>
      </c>
      <c r="F18" s="70" t="s">
        <v>137</v>
      </c>
      <c r="G18" s="70" t="s">
        <v>121</v>
      </c>
      <c r="H18" s="89">
        <v>43983</v>
      </c>
      <c r="I18" s="89">
        <v>43979</v>
      </c>
      <c r="J18"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4cd</v>
      </c>
      <c r="K18" s="131">
        <v>43997</v>
      </c>
      <c r="L18" s="79" t="str">
        <f ca="1">IF(Table2[[#This Row],[State]]="SETA Rvw", Table2[[#This Row],[SETA Review Team Due Date]]-TODAY(),"-")</f>
        <v>-</v>
      </c>
      <c r="M18" s="70"/>
      <c r="N18" s="74"/>
      <c r="O18" s="75" t="s">
        <v>266</v>
      </c>
      <c r="P18" s="76">
        <v>44013</v>
      </c>
      <c r="Q18" s="79">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-212</v>
      </c>
      <c r="R18" s="74"/>
      <c r="S18"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18" s="70" t="s">
        <v>309</v>
      </c>
      <c r="U18" s="75" t="s">
        <v>321</v>
      </c>
      <c r="V18" s="74"/>
      <c r="W18" s="74">
        <v>44042</v>
      </c>
      <c r="X18" s="75" t="s">
        <v>322</v>
      </c>
      <c r="Y18" s="80" t="str">
        <f ca="1">IF(Table2[[#This Row],[KTR OnTime/Late]] = "", "",
IF(LEFT(Table2[[#This Row],[KTR OnTime/Late]], 5) = "Early", "Early",
IF(LEFT(Table2[[#This Row],[KTR OnTime/Late]],4)="Late", "Late",
IF(LEFT(Table2[[#This Row],[KTR OnTime/Late]],5)="Ontim", "OnTime",
IF(LEFT(Table2[[#This Row],[KTR OnTime/Late]],5)="Pendi", "Pending","ERR")))))</f>
        <v>Early</v>
      </c>
    </row>
    <row r="19" spans="1:25" ht="15" customHeight="1" x14ac:dyDescent="0.25">
      <c r="A19" s="70" t="s">
        <v>25</v>
      </c>
      <c r="B19" s="70" t="s">
        <v>26</v>
      </c>
      <c r="C19" s="70" t="s">
        <v>32</v>
      </c>
      <c r="D19" s="78" t="str">
        <f>IFERROR(IF(OR(ISBLANK(Table2[[#This Row],[KTR]]),ISBLANK(Table2[[#This Row],[CLIN]]),ISBLANK(Table2[[#This Row],[CDRL ID]]))=TRUE,"",VLOOKUP(Table2[[#This Row],[KTR]]&amp;"|"&amp;Table2[[#This Row],[CLIN]]&amp;"|"&amp;Table2[[#This Row],[CDRL ID]],
Table4[],5,FALSE)),"ERROR: Title Not Found in LookUps")</f>
        <v>ERROR: Title Not Found in LookUps</v>
      </c>
      <c r="E19" s="72" t="s">
        <v>210</v>
      </c>
      <c r="F19" s="70"/>
      <c r="G19" s="70"/>
      <c r="H19" s="89"/>
      <c r="I19" s="89"/>
      <c r="J19"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
      </c>
      <c r="K19" s="131"/>
      <c r="L19" s="79" t="str">
        <f ca="1">IF(Table2[[#This Row],[State]]="SETA Rvw", Table2[[#This Row],[SETA Review Team Due Date]]-TODAY(),"-")</f>
        <v>-</v>
      </c>
      <c r="M19" s="70"/>
      <c r="N19" s="74"/>
      <c r="O19" s="75"/>
      <c r="P19" s="76"/>
      <c r="Q19"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9" s="74"/>
      <c r="S19"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9" s="70"/>
      <c r="U19" s="75"/>
      <c r="V19" s="74"/>
      <c r="W19" s="74"/>
      <c r="X19" s="75"/>
      <c r="Y19" s="80" t="str">
        <f ca="1">IF(Table2[[#This Row],[KTR OnTime/Late]] = "", "",
IF(LEFT(Table2[[#This Row],[KTR OnTime/Late]], 5) = "Early", "Early",
IF(LEFT(Table2[[#This Row],[KTR OnTime/Late]],4)="Late", "Late",
IF(LEFT(Table2[[#This Row],[KTR OnTime/Late]],5)="Ontim", "OnTime",
IF(LEFT(Table2[[#This Row],[KTR OnTime/Late]],5)="Pendi", "Pending","ERR")))))</f>
        <v/>
      </c>
    </row>
    <row r="20" spans="1:25" ht="15" customHeight="1" x14ac:dyDescent="0.25">
      <c r="A20" s="70" t="s">
        <v>25</v>
      </c>
      <c r="B20" s="70" t="s">
        <v>26</v>
      </c>
      <c r="C20" s="70" t="s">
        <v>33</v>
      </c>
      <c r="D20" s="78" t="str">
        <f>IFERROR(IF(OR(ISBLANK(Table2[[#This Row],[KTR]]),ISBLANK(Table2[[#This Row],[CLIN]]),ISBLANK(Table2[[#This Row],[CDRL ID]]))=TRUE,"",VLOOKUP(Table2[[#This Row],[KTR]]&amp;"|"&amp;Table2[[#This Row],[CLIN]]&amp;"|"&amp;Table2[[#This Row],[CDRL ID]],
Table4[],5,FALSE)),"ERROR: Title Not Found in LookUps")</f>
        <v>ERROR: Title Not Found in LookUps</v>
      </c>
      <c r="E20" s="72" t="s">
        <v>210</v>
      </c>
      <c r="F20" s="70" t="s">
        <v>137</v>
      </c>
      <c r="G20" s="70" t="s">
        <v>118</v>
      </c>
      <c r="H20" s="89">
        <v>43997</v>
      </c>
      <c r="I20" s="89"/>
      <c r="J20"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Late-Pending</v>
      </c>
      <c r="K20" s="131"/>
      <c r="L20" s="79" t="str">
        <f ca="1">IF(Table2[[#This Row],[State]]="SETA Rvw", Table2[[#This Row],[SETA Review Team Due Date]]-TODAY(),"-")</f>
        <v>-</v>
      </c>
      <c r="M20" s="70"/>
      <c r="N20" s="74"/>
      <c r="O20" s="75"/>
      <c r="P20" s="76"/>
      <c r="Q20"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20" s="74"/>
      <c r="S20"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20" s="70"/>
      <c r="U20" s="75"/>
      <c r="V20" s="74"/>
      <c r="W20" s="74"/>
      <c r="X20" s="75"/>
      <c r="Y20" s="80" t="str">
        <f ca="1">IF(Table2[[#This Row],[KTR OnTime/Late]] = "", "",
IF(LEFT(Table2[[#This Row],[KTR OnTime/Late]], 5) = "Early", "Early",
IF(LEFT(Table2[[#This Row],[KTR OnTime/Late]],4)="Late", "Late",
IF(LEFT(Table2[[#This Row],[KTR OnTime/Late]],5)="Ontim", "OnTime",
IF(LEFT(Table2[[#This Row],[KTR OnTime/Late]],5)="Pendi", "Pending","ERR")))))</f>
        <v>Late</v>
      </c>
    </row>
    <row r="21" spans="1:25" ht="15" customHeight="1" x14ac:dyDescent="0.25">
      <c r="A21" s="70" t="s">
        <v>391</v>
      </c>
      <c r="B21" s="70" t="s">
        <v>134</v>
      </c>
      <c r="C21" s="70" t="s">
        <v>427</v>
      </c>
      <c r="D21" s="78" t="str">
        <f>IFERROR(IF(OR(ISBLANK(Table2[[#This Row],[KTR]]),ISBLANK(Table2[[#This Row],[CLIN]]),ISBLANK(Table2[[#This Row],[CDRL ID]]))=TRUE,"",VLOOKUP(Table2[[#This Row],[KTR]]&amp;"|"&amp;Table2[[#This Row],[CLIN]]&amp;"|"&amp;Table2[[#This Row],[CDRL ID]],
Table4[],5,FALSE)),"ERROR: Title Not Found in LookUps")</f>
        <v>Test and Evaluation Program Plan (TEPP)</v>
      </c>
      <c r="E21" s="72" t="s">
        <v>448</v>
      </c>
      <c r="F21" s="70" t="s">
        <v>137</v>
      </c>
      <c r="G21" s="70" t="s">
        <v>118</v>
      </c>
      <c r="H21" s="89">
        <v>44138</v>
      </c>
      <c r="I21" s="89">
        <v>44138</v>
      </c>
      <c r="J21" s="134"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21" s="131"/>
      <c r="L21" s="79" t="str">
        <f ca="1">IF(Table2[[#This Row],[State]]="SETA Rvw", Table2[[#This Row],[SETA Review Team Due Date]]-TODAY(),"-")</f>
        <v>-</v>
      </c>
      <c r="M21" s="70"/>
      <c r="N21" s="74"/>
      <c r="O21" s="75"/>
      <c r="P21" s="76"/>
      <c r="Q21"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21" s="74"/>
      <c r="S21"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21" s="70"/>
      <c r="U21" s="75"/>
      <c r="V21" s="74"/>
      <c r="W21" s="74"/>
      <c r="X21" s="75"/>
      <c r="Y21" s="80" t="str">
        <f ca="1">IF(Table2[[#This Row],[KTR OnTime/Late]] = "", "",
IF(LEFT(Table2[[#This Row],[KTR OnTime/Late]], 5) = "Early", "Early",
IF(LEFT(Table2[[#This Row],[KTR OnTime/Late]],4)="Late", "Late",
IF(LEFT(Table2[[#This Row],[KTR OnTime/Late]],5)="Ontim", "OnTime",
IF(LEFT(Table2[[#This Row],[KTR OnTime/Late]],5)="Pendi", "Pending","ERR")))))</f>
        <v>OnTime</v>
      </c>
    </row>
    <row r="22" spans="1:25" ht="15" customHeight="1" x14ac:dyDescent="0.25">
      <c r="A22" s="70" t="s">
        <v>392</v>
      </c>
      <c r="B22" s="70" t="s">
        <v>134</v>
      </c>
      <c r="C22" s="70" t="s">
        <v>34</v>
      </c>
      <c r="D22" s="78" t="str">
        <f>IFERROR(IF(OR(ISBLANK(Table2[[#This Row],[KTR]]),ISBLANK(Table2[[#This Row],[CLIN]]),ISBLANK(Table2[[#This Row],[CDRL ID]]))=TRUE,"",VLOOKUP(Table2[[#This Row],[KTR]]&amp;"|"&amp;Table2[[#This Row],[CLIN]]&amp;"|"&amp;Table2[[#This Row],[CDRL ID]],
Table4[],5,FALSE)),"ERROR: Title Not Found in LookUps")</f>
        <v>Integrated Master Schedule (IMS)</v>
      </c>
      <c r="E22" s="72" t="s">
        <v>450</v>
      </c>
      <c r="F22" s="70" t="s">
        <v>137</v>
      </c>
      <c r="G22" s="70" t="s">
        <v>118</v>
      </c>
      <c r="H22" s="89">
        <v>44140</v>
      </c>
      <c r="I22" s="89">
        <v>44139</v>
      </c>
      <c r="J22"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22" s="131"/>
      <c r="L22" s="79" t="str">
        <f ca="1">IF(Table2[[#This Row],[State]]="SETA Rvw", Table2[[#This Row],[SETA Review Team Due Date]]-TODAY(),"-")</f>
        <v>-</v>
      </c>
      <c r="M22" s="70"/>
      <c r="N22" s="74"/>
      <c r="O22" s="75"/>
      <c r="P22" s="76"/>
      <c r="Q22"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22" s="74"/>
      <c r="S22"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22" s="70"/>
      <c r="U22" s="75"/>
      <c r="V22" s="74"/>
      <c r="W22" s="74"/>
      <c r="X22" s="75"/>
      <c r="Y22" s="80" t="str">
        <f ca="1">IF(Table2[[#This Row],[KTR OnTime/Late]] = "", "",
IF(LEFT(Table2[[#This Row],[KTR OnTime/Late]], 5) = "Early", "Early",
IF(LEFT(Table2[[#This Row],[KTR OnTime/Late]],4)="Late", "Late",
IF(LEFT(Table2[[#This Row],[KTR OnTime/Late]],5)="Ontim", "OnTime",
IF(LEFT(Table2[[#This Row],[KTR OnTime/Late]],5)="Pendi", "Pending","ERR")))))</f>
        <v>Early</v>
      </c>
    </row>
    <row r="23" spans="1:25" ht="15" customHeight="1" x14ac:dyDescent="0.25">
      <c r="A23" s="70" t="s">
        <v>393</v>
      </c>
      <c r="B23" s="70" t="s">
        <v>134</v>
      </c>
      <c r="C23" s="70" t="s">
        <v>428</v>
      </c>
      <c r="D23" s="78" t="str">
        <f>IFERROR(IF(OR(ISBLANK(Table2[[#This Row],[KTR]]),ISBLANK(Table2[[#This Row],[CLIN]]),ISBLANK(Table2[[#This Row],[CDRL ID]]))=TRUE,"",VLOOKUP(Table2[[#This Row],[KTR]]&amp;"|"&amp;Table2[[#This Row],[CLIN]]&amp;"|"&amp;Table2[[#This Row],[CDRL ID]],
Table4[],5,FALSE)),"ERROR: Title Not Found in LookUps")</f>
        <v>Test Report</v>
      </c>
      <c r="E23" s="72" t="s">
        <v>452</v>
      </c>
      <c r="F23" s="70" t="s">
        <v>137</v>
      </c>
      <c r="G23" s="70" t="s">
        <v>118</v>
      </c>
      <c r="H23" s="89">
        <v>44141</v>
      </c>
      <c r="I23" s="89">
        <v>44137</v>
      </c>
      <c r="J23" s="79"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4cd</v>
      </c>
      <c r="K23" s="131"/>
      <c r="L23" s="79" t="str">
        <f ca="1">IF(Table2[[#This Row],[State]]="SETA Rvw", Table2[[#This Row],[SETA Review Team Due Date]]-TODAY(),"-")</f>
        <v>-</v>
      </c>
      <c r="M23" s="70"/>
      <c r="N23" s="74"/>
      <c r="O23" s="75"/>
      <c r="P23" s="76"/>
      <c r="Q23" s="79"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23" s="74"/>
      <c r="S23" s="79"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23" s="70"/>
      <c r="U23" s="75"/>
      <c r="V23" s="74"/>
      <c r="W23" s="74"/>
      <c r="X23" s="75"/>
      <c r="Y23" s="80" t="str">
        <f ca="1">IF(Table2[[#This Row],[KTR OnTime/Late]] = "", "",
IF(LEFT(Table2[[#This Row],[KTR OnTime/Late]], 5) = "Early", "Early",
IF(LEFT(Table2[[#This Row],[KTR OnTime/Late]],4)="Late", "Late",
IF(LEFT(Table2[[#This Row],[KTR OnTime/Late]],5)="Ontim", "OnTime",
IF(LEFT(Table2[[#This Row],[KTR OnTime/Late]],5)="Pendi", "Pending","ERR")))))</f>
        <v>Early</v>
      </c>
    </row>
    <row r="27" spans="1:25" x14ac:dyDescent="0.25">
      <c r="D27" s="126"/>
    </row>
  </sheetData>
  <conditionalFormatting sqref="J4:J23">
    <cfRule type="containsText" dxfId="537" priority="8" operator="containsText" text="Late">
      <formula>NOT(ISERROR(SEARCH("Late",J4)))</formula>
    </cfRule>
    <cfRule type="containsText" dxfId="536" priority="9" operator="containsText" text="OnTime">
      <formula>NOT(ISERROR(SEARCH("OnTime",J4)))</formula>
    </cfRule>
    <cfRule type="containsText" dxfId="535" priority="10" operator="containsText" text="Early">
      <formula>NOT(ISERROR(SEARCH("Early",J4)))</formula>
    </cfRule>
  </conditionalFormatting>
  <conditionalFormatting sqref="G4:G23">
    <cfRule type="containsText" dxfId="534" priority="4" operator="containsText" text="GPOC">
      <formula>NOT(ISERROR(SEARCH("GPOC",G4)))</formula>
    </cfRule>
    <cfRule type="containsText" dxfId="533" priority="5" operator="containsText" text="Complete">
      <formula>NOT(ISERROR(SEARCH("Complete",G4)))</formula>
    </cfRule>
    <cfRule type="containsText" dxfId="532" priority="6" operator="containsText" text="SETA">
      <formula>NOT(ISERROR(SEARCH("SETA",G4)))</formula>
    </cfRule>
    <cfRule type="containsText" priority="7" operator="containsText" text="Pending">
      <formula>NOT(ISERROR(SEARCH("Pending",G4)))</formula>
    </cfRule>
  </conditionalFormatting>
  <conditionalFormatting sqref="D4:D23">
    <cfRule type="cellIs" dxfId="531" priority="3" operator="equal">
      <formula>"ERROR: Title Not Found in LookUps"</formula>
    </cfRule>
  </conditionalFormatting>
  <conditionalFormatting sqref="Q4:Q23 L23">
    <cfRule type="cellIs" dxfId="530" priority="2" operator="lessThan">
      <formula>0</formula>
    </cfRule>
  </conditionalFormatting>
  <conditionalFormatting sqref="L4:L23">
    <cfRule type="cellIs" dxfId="529"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AllFilters">
                <anchor>
                  <from>
                    <xdr:col>2</xdr:col>
                    <xdr:colOff>66675</xdr:colOff>
                    <xdr:row>0</xdr:row>
                    <xdr:rowOff>276225</xdr:rowOff>
                  </from>
                  <to>
                    <xdr:col>2</xdr:col>
                    <xdr:colOff>533400</xdr:colOff>
                    <xdr:row>0</xdr:row>
                    <xdr:rowOff>723900</xdr:rowOff>
                  </to>
                </anchor>
              </controlPr>
            </control>
          </mc:Choice>
        </mc:AlternateContent>
        <mc:AlternateContent xmlns:mc="http://schemas.openxmlformats.org/markup-compatibility/2006">
          <mc:Choice Requires="x14">
            <control shapeId="1026" r:id="rId5" name="Button 2">
              <controlPr defaultSize="0" print="0" autoFill="0" autoPict="0" macro="[0]!DueNext30days">
                <anchor>
                  <from>
                    <xdr:col>3</xdr:col>
                    <xdr:colOff>95250</xdr:colOff>
                    <xdr:row>0</xdr:row>
                    <xdr:rowOff>285750</xdr:rowOff>
                  </from>
                  <to>
                    <xdr:col>3</xdr:col>
                    <xdr:colOff>1257300</xdr:colOff>
                    <xdr:row>0</xdr:row>
                    <xdr:rowOff>466725</xdr:rowOff>
                  </to>
                </anchor>
              </controlPr>
            </control>
          </mc:Choice>
        </mc:AlternateContent>
        <mc:AlternateContent xmlns:mc="http://schemas.openxmlformats.org/markup-compatibility/2006">
          <mc:Choice Requires="x14">
            <control shapeId="1028" r:id="rId6" name="Button 4">
              <controlPr defaultSize="0" print="0" autoFill="0" autoPict="0" macro="[0]!DlvrdLast7Days">
                <anchor>
                  <from>
                    <xdr:col>3</xdr:col>
                    <xdr:colOff>104775</xdr:colOff>
                    <xdr:row>0</xdr:row>
                    <xdr:rowOff>523875</xdr:rowOff>
                  </from>
                  <to>
                    <xdr:col>3</xdr:col>
                    <xdr:colOff>1257300</xdr:colOff>
                    <xdr:row>0</xdr:row>
                    <xdr:rowOff>695325</xdr:rowOff>
                  </to>
                </anchor>
              </controlPr>
            </control>
          </mc:Choice>
        </mc:AlternateContent>
        <mc:AlternateContent xmlns:mc="http://schemas.openxmlformats.org/markup-compatibility/2006">
          <mc:Choice Requires="x14">
            <control shapeId="1029" r:id="rId7" name="Button 5">
              <controlPr defaultSize="0" print="0" autoFill="0" autoPict="0" macro="[0]!InRvwByDueDate">
                <anchor>
                  <from>
                    <xdr:col>3</xdr:col>
                    <xdr:colOff>1409700</xdr:colOff>
                    <xdr:row>0</xdr:row>
                    <xdr:rowOff>285750</xdr:rowOff>
                  </from>
                  <to>
                    <xdr:col>3</xdr:col>
                    <xdr:colOff>2371725</xdr:colOff>
                    <xdr:row>0</xdr:row>
                    <xdr:rowOff>723900</xdr:rowOff>
                  </to>
                </anchor>
              </controlPr>
            </control>
          </mc:Choice>
        </mc:AlternateContent>
        <mc:AlternateContent xmlns:mc="http://schemas.openxmlformats.org/markup-compatibility/2006">
          <mc:Choice Requires="x14">
            <control shapeId="1030" r:id="rId8" name="Button 6">
              <controlPr defaultSize="0" print="0" autoFill="0" autoPict="0" macro="[0]!DefaultSort">
                <anchor>
                  <from>
                    <xdr:col>4</xdr:col>
                    <xdr:colOff>238125</xdr:colOff>
                    <xdr:row>0</xdr:row>
                    <xdr:rowOff>266700</xdr:rowOff>
                  </from>
                  <to>
                    <xdr:col>5</xdr:col>
                    <xdr:colOff>95250</xdr:colOff>
                    <xdr:row>0</xdr:row>
                    <xdr:rowOff>762000</xdr:rowOff>
                  </to>
                </anchor>
              </controlPr>
            </control>
          </mc:Choice>
        </mc:AlternateContent>
        <mc:AlternateContent xmlns:mc="http://schemas.openxmlformats.org/markup-compatibility/2006">
          <mc:Choice Requires="x14">
            <control shapeId="1031" r:id="rId9" name="Button 7">
              <controlPr defaultSize="0" print="0" autoFill="0" autoPict="0" macro="[0]!ResetColWidth">
                <anchor>
                  <from>
                    <xdr:col>5</xdr:col>
                    <xdr:colOff>333375</xdr:colOff>
                    <xdr:row>0</xdr:row>
                    <xdr:rowOff>314325</xdr:rowOff>
                  </from>
                  <to>
                    <xdr:col>6</xdr:col>
                    <xdr:colOff>333375</xdr:colOff>
                    <xdr:row>0</xdr:row>
                    <xdr:rowOff>476250</xdr:rowOff>
                  </to>
                </anchor>
              </controlPr>
            </control>
          </mc:Choice>
        </mc:AlternateContent>
        <mc:AlternateContent xmlns:mc="http://schemas.openxmlformats.org/markup-compatibility/2006">
          <mc:Choice Requires="x14">
            <control shapeId="1032" r:id="rId10" name="Button 8">
              <controlPr defaultSize="0" print="0" autoFill="0" autoPict="0" macro="[0]!SetRowHeight">
                <anchor>
                  <from>
                    <xdr:col>5</xdr:col>
                    <xdr:colOff>323850</xdr:colOff>
                    <xdr:row>0</xdr:row>
                    <xdr:rowOff>552450</xdr:rowOff>
                  </from>
                  <to>
                    <xdr:col>6</xdr:col>
                    <xdr:colOff>333375</xdr:colOff>
                    <xdr:row>0</xdr:row>
                    <xdr:rowOff>714375</xdr:rowOff>
                  </to>
                </anchor>
              </controlPr>
            </control>
          </mc:Choice>
        </mc:AlternateContent>
        <mc:AlternateContent xmlns:mc="http://schemas.openxmlformats.org/markup-compatibility/2006">
          <mc:Choice Requires="x14">
            <control shapeId="1033" r:id="rId11" name="Button 9">
              <controlPr defaultSize="0" print="0" autoFill="0" autoPict="0" macro="[0]!UnhideCols">
                <anchor>
                  <from>
                    <xdr:col>6</xdr:col>
                    <xdr:colOff>457200</xdr:colOff>
                    <xdr:row>0</xdr:row>
                    <xdr:rowOff>304800</xdr:rowOff>
                  </from>
                  <to>
                    <xdr:col>7</xdr:col>
                    <xdr:colOff>180975</xdr:colOff>
                    <xdr:row>0</xdr:row>
                    <xdr:rowOff>466725</xdr:rowOff>
                  </to>
                </anchor>
              </controlPr>
            </control>
          </mc:Choice>
        </mc:AlternateContent>
        <mc:AlternateContent xmlns:mc="http://schemas.openxmlformats.org/markup-compatibility/2006">
          <mc:Choice Requires="x14">
            <control shapeId="1034" r:id="rId12" name="Button 10">
              <controlPr defaultSize="0" print="0" autoFill="0" autoPict="0" macro="[0]!InsertNewRowInTable">
                <anchor>
                  <from>
                    <xdr:col>7</xdr:col>
                    <xdr:colOff>466725</xdr:colOff>
                    <xdr:row>0</xdr:row>
                    <xdr:rowOff>304800</xdr:rowOff>
                  </from>
                  <to>
                    <xdr:col>8</xdr:col>
                    <xdr:colOff>781050</xdr:colOff>
                    <xdr:row>0</xdr:row>
                    <xdr:rowOff>476250</xdr:rowOff>
                  </to>
                </anchor>
              </controlPr>
            </control>
          </mc:Choice>
        </mc:AlternateContent>
        <mc:AlternateContent xmlns:mc="http://schemas.openxmlformats.org/markup-compatibility/2006">
          <mc:Choice Requires="x14">
            <control shapeId="1035" r:id="rId13" name="Button 11">
              <controlPr defaultSize="0" print="0" autoFill="0" autoPict="0" macro="[0]!OpenCDRLEditForm">
                <anchor>
                  <from>
                    <xdr:col>7</xdr:col>
                    <xdr:colOff>466725</xdr:colOff>
                    <xdr:row>0</xdr:row>
                    <xdr:rowOff>523875</xdr:rowOff>
                  </from>
                  <to>
                    <xdr:col>9</xdr:col>
                    <xdr:colOff>85725</xdr:colOff>
                    <xdr:row>0</xdr:row>
                    <xdr:rowOff>771525</xdr:rowOff>
                  </to>
                </anchor>
              </controlPr>
            </control>
          </mc:Choice>
        </mc:AlternateContent>
      </controls>
    </mc:Choice>
  </mc:AlternateContent>
  <tableParts count="1">
    <tablePart r:id="rId14"/>
  </tableParts>
  <extLst>
    <ext xmlns:x14="http://schemas.microsoft.com/office/spreadsheetml/2009/9/main" uri="{CCE6A557-97BC-4b89-ADB6-D9C93CAAB3DF}">
      <x14:dataValidations xmlns:xm="http://schemas.microsoft.com/office/excel/2006/main" count="7">
        <x14:dataValidation type="list" allowBlank="1" showInputMessage="1" showErrorMessage="1">
          <x14:formula1>
            <xm:f>OFFSET(LookUps!$M$2,0,0, COUNTA(LookUps!$M:$M),-1)</xm:f>
          </x14:formula1>
          <xm:sqref>A4:A23</xm:sqref>
        </x14:dataValidation>
        <x14:dataValidation type="list" allowBlank="1" showInputMessage="1" showErrorMessage="1">
          <x14:formula1>
            <xm:f>OFFSET(LookUps!$N$2,0,0, COUNTA(LookUps!$N:$N),-1)</xm:f>
          </x14:formula1>
          <xm:sqref>B4:B23</xm:sqref>
        </x14:dataValidation>
        <x14:dataValidation type="list" allowBlank="1" showInputMessage="1" showErrorMessage="1">
          <x14:formula1>
            <xm:f>OFFSET(LookUps!$O$2,0,0, COUNTA(LookUps!$O:$O),-1)</xm:f>
          </x14:formula1>
          <xm:sqref>C4:C23</xm:sqref>
        </x14:dataValidation>
        <x14:dataValidation type="list" allowBlank="1" showInputMessage="1" showErrorMessage="1">
          <x14:formula1>
            <xm:f>OFFSET(LookUps!$Q$2,0,0, COUNTA(LookUps!$Q:$Q),-1)</xm:f>
          </x14:formula1>
          <xm:sqref>F4:F23</xm:sqref>
        </x14:dataValidation>
        <x14:dataValidation type="list" allowBlank="1" showInputMessage="1" showErrorMessage="1">
          <x14:formula1>
            <xm:f>OFFSET(LookUps!$C$2,0,0, COUNTA(LookUps!$C:$C),-1)</xm:f>
          </x14:formula1>
          <xm:sqref>G4:G23</xm:sqref>
        </x14:dataValidation>
        <x14:dataValidation type="list" allowBlank="1" showInputMessage="1" showErrorMessage="1">
          <x14:formula1>
            <xm:f>OFFSET(LookUps!$E$2,0,0, COUNTA(LookUps!$E:$E),-1)</xm:f>
          </x14:formula1>
          <xm:sqref>M4:M23</xm:sqref>
        </x14:dataValidation>
        <x14:dataValidation type="list" allowBlank="1" showInputMessage="1" showErrorMessage="1">
          <x14:formula1>
            <xm:f>OFFSET(LookUps!$F$2,0,0, COUNTA(LookUps!$F:$F),-1)</xm:f>
          </x14:formula1>
          <xm:sqref>T4:T23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99"/>
  </sheetPr>
  <dimension ref="A1:AO56"/>
  <sheetViews>
    <sheetView zoomScaleNormal="100" workbookViewId="0">
      <selection activeCell="C24" sqref="C24"/>
    </sheetView>
  </sheetViews>
  <sheetFormatPr defaultRowHeight="15" x14ac:dyDescent="0.25"/>
  <cols>
    <col min="1" max="1" width="23.7109375" customWidth="1"/>
    <col min="2" max="2" width="26.5703125" customWidth="1"/>
    <col min="3" max="3" width="23.7109375" customWidth="1"/>
    <col min="4" max="29" width="3.5703125" customWidth="1"/>
  </cols>
  <sheetData>
    <row r="1" spans="1:41" ht="59.65" customHeight="1" x14ac:dyDescent="0.25">
      <c r="A1" s="11"/>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spans="1:41" ht="38.65" customHeight="1" x14ac:dyDescent="0.25">
      <c r="A2" s="13" t="s">
        <v>29</v>
      </c>
      <c r="B2" s="13" t="s">
        <v>30</v>
      </c>
      <c r="C2" s="13" t="s">
        <v>31</v>
      </c>
      <c r="D2" s="14" t="s">
        <v>27</v>
      </c>
      <c r="E2" s="14" t="s">
        <v>32</v>
      </c>
      <c r="F2" s="14" t="s">
        <v>33</v>
      </c>
      <c r="G2" s="14" t="s">
        <v>34</v>
      </c>
      <c r="H2" s="14" t="s">
        <v>35</v>
      </c>
      <c r="I2" s="14" t="s">
        <v>36</v>
      </c>
      <c r="J2" s="14" t="s">
        <v>37</v>
      </c>
      <c r="K2" s="14" t="s">
        <v>38</v>
      </c>
      <c r="L2" s="14" t="s">
        <v>39</v>
      </c>
      <c r="M2" s="14" t="s">
        <v>40</v>
      </c>
      <c r="N2" s="14" t="s">
        <v>41</v>
      </c>
      <c r="O2" s="14" t="s">
        <v>42</v>
      </c>
      <c r="P2" s="14" t="s">
        <v>43</v>
      </c>
      <c r="Q2" s="14" t="s">
        <v>44</v>
      </c>
      <c r="R2" s="14" t="s">
        <v>45</v>
      </c>
      <c r="S2" s="14" t="s">
        <v>46</v>
      </c>
      <c r="T2" s="14" t="s">
        <v>47</v>
      </c>
      <c r="U2" s="14" t="s">
        <v>48</v>
      </c>
      <c r="V2" s="14" t="s">
        <v>49</v>
      </c>
      <c r="W2" s="14" t="s">
        <v>50</v>
      </c>
      <c r="X2" s="14" t="s">
        <v>51</v>
      </c>
      <c r="Y2" s="14" t="s">
        <v>52</v>
      </c>
      <c r="Z2" s="14" t="s">
        <v>53</v>
      </c>
      <c r="AA2" s="14" t="s">
        <v>54</v>
      </c>
      <c r="AB2" s="14" t="s">
        <v>55</v>
      </c>
      <c r="AC2" s="14" t="s">
        <v>56</v>
      </c>
    </row>
    <row r="3" spans="1:41" x14ac:dyDescent="0.25">
      <c r="A3" s="41" t="s">
        <v>326</v>
      </c>
      <c r="B3" s="41"/>
      <c r="C3" s="118"/>
      <c r="D3" s="109" t="s">
        <v>100</v>
      </c>
      <c r="E3" s="110" t="s">
        <v>100</v>
      </c>
      <c r="F3" s="110" t="s">
        <v>100</v>
      </c>
      <c r="G3" s="110" t="s">
        <v>100</v>
      </c>
      <c r="H3" s="110" t="s">
        <v>100</v>
      </c>
      <c r="I3" s="110" t="s">
        <v>100</v>
      </c>
      <c r="J3" s="110" t="s">
        <v>100</v>
      </c>
      <c r="K3" s="110" t="s">
        <v>100</v>
      </c>
      <c r="L3" s="110" t="s">
        <v>100</v>
      </c>
      <c r="M3" s="110" t="s">
        <v>100</v>
      </c>
      <c r="N3" s="110" t="s">
        <v>100</v>
      </c>
      <c r="O3" s="110" t="s">
        <v>100</v>
      </c>
      <c r="P3" s="110" t="s">
        <v>100</v>
      </c>
      <c r="Q3" s="110" t="s">
        <v>100</v>
      </c>
      <c r="R3" s="110" t="s">
        <v>100</v>
      </c>
      <c r="S3" s="110" t="s">
        <v>100</v>
      </c>
      <c r="T3" s="110" t="s">
        <v>100</v>
      </c>
      <c r="U3" s="110" t="s">
        <v>100</v>
      </c>
      <c r="V3" s="110" t="s">
        <v>100</v>
      </c>
      <c r="W3" s="110" t="s">
        <v>100</v>
      </c>
      <c r="X3" s="110" t="s">
        <v>100</v>
      </c>
      <c r="Y3" s="110" t="s">
        <v>100</v>
      </c>
      <c r="Z3" s="110" t="s">
        <v>100</v>
      </c>
      <c r="AA3" s="110" t="s">
        <v>100</v>
      </c>
      <c r="AB3" s="110" t="s">
        <v>100</v>
      </c>
      <c r="AC3" s="111" t="s">
        <v>100</v>
      </c>
    </row>
    <row r="4" spans="1:41" x14ac:dyDescent="0.25">
      <c r="A4" s="41" t="s">
        <v>327</v>
      </c>
      <c r="B4" s="41"/>
      <c r="C4" s="118"/>
      <c r="D4" s="112"/>
      <c r="E4" s="113"/>
      <c r="F4" s="113"/>
      <c r="G4" s="113"/>
      <c r="H4" s="113"/>
      <c r="I4" s="113"/>
      <c r="J4" s="113"/>
      <c r="K4" s="113"/>
      <c r="L4" s="113"/>
      <c r="M4" s="113"/>
      <c r="N4" s="113"/>
      <c r="O4" s="113"/>
      <c r="P4" s="113"/>
      <c r="Q4" s="113"/>
      <c r="R4" s="113"/>
      <c r="S4" s="113"/>
      <c r="T4" s="113"/>
      <c r="U4" s="113"/>
      <c r="V4" s="113"/>
      <c r="W4" s="113"/>
      <c r="X4" s="113"/>
      <c r="Y4" s="113"/>
      <c r="Z4" s="113"/>
      <c r="AA4" s="113"/>
      <c r="AB4" s="113"/>
      <c r="AC4" s="114"/>
    </row>
    <row r="5" spans="1:41" x14ac:dyDescent="0.25">
      <c r="A5" s="41" t="s">
        <v>328</v>
      </c>
      <c r="B5" s="41"/>
      <c r="C5" s="118"/>
      <c r="D5" s="112" t="s">
        <v>99</v>
      </c>
      <c r="E5" s="113" t="s">
        <v>99</v>
      </c>
      <c r="F5" s="113" t="s">
        <v>99</v>
      </c>
      <c r="G5" s="113" t="s">
        <v>99</v>
      </c>
      <c r="H5" s="113" t="s">
        <v>99</v>
      </c>
      <c r="I5" s="113" t="s">
        <v>99</v>
      </c>
      <c r="J5" s="113" t="s">
        <v>99</v>
      </c>
      <c r="K5" s="113" t="s">
        <v>99</v>
      </c>
      <c r="L5" s="113" t="s">
        <v>99</v>
      </c>
      <c r="M5" s="113" t="s">
        <v>99</v>
      </c>
      <c r="N5" s="113" t="s">
        <v>99</v>
      </c>
      <c r="O5" s="113" t="s">
        <v>99</v>
      </c>
      <c r="P5" s="113" t="s">
        <v>99</v>
      </c>
      <c r="Q5" s="113" t="s">
        <v>99</v>
      </c>
      <c r="R5" s="113" t="s">
        <v>99</v>
      </c>
      <c r="S5" s="113" t="s">
        <v>99</v>
      </c>
      <c r="T5" s="113" t="s">
        <v>99</v>
      </c>
      <c r="U5" s="113" t="s">
        <v>99</v>
      </c>
      <c r="V5" s="113" t="s">
        <v>99</v>
      </c>
      <c r="W5" s="113" t="s">
        <v>99</v>
      </c>
      <c r="X5" s="113" t="s">
        <v>99</v>
      </c>
      <c r="Y5" s="113" t="s">
        <v>99</v>
      </c>
      <c r="Z5" s="113" t="s">
        <v>99</v>
      </c>
      <c r="AA5" s="113" t="s">
        <v>99</v>
      </c>
      <c r="AB5" s="113" t="s">
        <v>99</v>
      </c>
      <c r="AC5" s="114" t="s">
        <v>99</v>
      </c>
    </row>
    <row r="6" spans="1:41" x14ac:dyDescent="0.25">
      <c r="A6" s="41" t="s">
        <v>329</v>
      </c>
      <c r="B6" s="41"/>
      <c r="C6" s="118"/>
      <c r="D6" s="112"/>
      <c r="E6" s="113"/>
      <c r="F6" s="113"/>
      <c r="G6" s="113"/>
      <c r="H6" s="113"/>
      <c r="I6" s="113"/>
      <c r="J6" s="113"/>
      <c r="K6" s="113"/>
      <c r="L6" s="113"/>
      <c r="M6" s="113"/>
      <c r="N6" s="113"/>
      <c r="O6" s="113"/>
      <c r="P6" s="113"/>
      <c r="Q6" s="113"/>
      <c r="R6" s="113"/>
      <c r="S6" s="113"/>
      <c r="T6" s="113"/>
      <c r="U6" s="113"/>
      <c r="V6" s="113"/>
      <c r="W6" s="113"/>
      <c r="X6" s="113"/>
      <c r="Y6" s="113"/>
      <c r="Z6" s="113"/>
      <c r="AA6" s="113"/>
      <c r="AB6" s="113"/>
      <c r="AC6" s="114"/>
    </row>
    <row r="7" spans="1:41" x14ac:dyDescent="0.25">
      <c r="A7" s="41" t="s">
        <v>330</v>
      </c>
      <c r="B7" s="41"/>
      <c r="C7" s="118"/>
      <c r="D7" s="112"/>
      <c r="E7" s="113"/>
      <c r="F7" s="113"/>
      <c r="G7" s="113"/>
      <c r="H7" s="113"/>
      <c r="I7" s="113"/>
      <c r="J7" s="113"/>
      <c r="K7" s="113"/>
      <c r="L7" s="113"/>
      <c r="M7" s="113"/>
      <c r="N7" s="113"/>
      <c r="O7" s="113"/>
      <c r="P7" s="113"/>
      <c r="Q7" s="113"/>
      <c r="R7" s="113"/>
      <c r="S7" s="113"/>
      <c r="T7" s="113"/>
      <c r="U7" s="113"/>
      <c r="V7" s="113"/>
      <c r="W7" s="113"/>
      <c r="X7" s="113"/>
      <c r="Y7" s="113"/>
      <c r="Z7" s="113"/>
      <c r="AA7" s="113"/>
      <c r="AB7" s="113"/>
      <c r="AC7" s="114"/>
    </row>
    <row r="8" spans="1:41" x14ac:dyDescent="0.25">
      <c r="A8" s="41" t="s">
        <v>331</v>
      </c>
      <c r="B8" s="41"/>
      <c r="C8" s="118"/>
      <c r="D8" s="112"/>
      <c r="E8" s="113"/>
      <c r="F8" s="113"/>
      <c r="G8" s="113"/>
      <c r="H8" s="113"/>
      <c r="I8" s="113"/>
      <c r="J8" s="113"/>
      <c r="K8" s="113"/>
      <c r="L8" s="113"/>
      <c r="M8" s="113"/>
      <c r="N8" s="113"/>
      <c r="O8" s="113"/>
      <c r="P8" s="113"/>
      <c r="Q8" s="113"/>
      <c r="R8" s="113"/>
      <c r="S8" s="113"/>
      <c r="T8" s="113"/>
      <c r="U8" s="113"/>
      <c r="V8" s="113"/>
      <c r="W8" s="113"/>
      <c r="X8" s="113"/>
      <c r="Y8" s="113"/>
      <c r="Z8" s="113"/>
      <c r="AA8" s="113"/>
      <c r="AB8" s="113"/>
      <c r="AC8" s="114"/>
    </row>
    <row r="9" spans="1:41" x14ac:dyDescent="0.25">
      <c r="A9" s="41" t="s">
        <v>332</v>
      </c>
      <c r="B9" s="41"/>
      <c r="C9" s="118"/>
      <c r="D9" s="112" t="s">
        <v>100</v>
      </c>
      <c r="E9" s="113" t="s">
        <v>100</v>
      </c>
      <c r="F9" s="113" t="s">
        <v>100</v>
      </c>
      <c r="G9" s="113" t="s">
        <v>100</v>
      </c>
      <c r="H9" s="113" t="s">
        <v>100</v>
      </c>
      <c r="I9" s="113" t="s">
        <v>100</v>
      </c>
      <c r="J9" s="113" t="s">
        <v>100</v>
      </c>
      <c r="K9" s="113" t="s">
        <v>100</v>
      </c>
      <c r="L9" s="113" t="s">
        <v>100</v>
      </c>
      <c r="M9" s="113" t="s">
        <v>100</v>
      </c>
      <c r="N9" s="113" t="s">
        <v>100</v>
      </c>
      <c r="O9" s="113" t="s">
        <v>100</v>
      </c>
      <c r="P9" s="113" t="s">
        <v>100</v>
      </c>
      <c r="Q9" s="113" t="s">
        <v>100</v>
      </c>
      <c r="R9" s="113" t="s">
        <v>100</v>
      </c>
      <c r="S9" s="113" t="s">
        <v>100</v>
      </c>
      <c r="T9" s="113" t="s">
        <v>100</v>
      </c>
      <c r="U9" s="113" t="s">
        <v>100</v>
      </c>
      <c r="V9" s="113" t="s">
        <v>100</v>
      </c>
      <c r="W9" s="113" t="s">
        <v>100</v>
      </c>
      <c r="X9" s="113" t="s">
        <v>100</v>
      </c>
      <c r="Y9" s="113" t="s">
        <v>100</v>
      </c>
      <c r="Z9" s="113" t="s">
        <v>100</v>
      </c>
      <c r="AA9" s="113" t="s">
        <v>100</v>
      </c>
      <c r="AB9" s="113" t="s">
        <v>100</v>
      </c>
      <c r="AC9" s="114" t="s">
        <v>100</v>
      </c>
    </row>
    <row r="10" spans="1:41" x14ac:dyDescent="0.25">
      <c r="A10" s="41" t="s">
        <v>333</v>
      </c>
      <c r="B10" s="41"/>
      <c r="C10" s="118"/>
      <c r="D10" s="112" t="s">
        <v>99</v>
      </c>
      <c r="E10" s="113" t="s">
        <v>99</v>
      </c>
      <c r="F10" s="113" t="s">
        <v>99</v>
      </c>
      <c r="G10" s="113" t="s">
        <v>99</v>
      </c>
      <c r="H10" s="113" t="s">
        <v>99</v>
      </c>
      <c r="I10" s="113" t="s">
        <v>99</v>
      </c>
      <c r="J10" s="113" t="s">
        <v>99</v>
      </c>
      <c r="K10" s="113" t="s">
        <v>99</v>
      </c>
      <c r="L10" s="113" t="s">
        <v>99</v>
      </c>
      <c r="M10" s="113" t="s">
        <v>99</v>
      </c>
      <c r="N10" s="113" t="s">
        <v>99</v>
      </c>
      <c r="O10" s="113" t="s">
        <v>99</v>
      </c>
      <c r="P10" s="113" t="s">
        <v>99</v>
      </c>
      <c r="Q10" s="113" t="s">
        <v>99</v>
      </c>
      <c r="R10" s="113" t="s">
        <v>99</v>
      </c>
      <c r="S10" s="113" t="s">
        <v>99</v>
      </c>
      <c r="T10" s="113" t="s">
        <v>99</v>
      </c>
      <c r="U10" s="113" t="s">
        <v>99</v>
      </c>
      <c r="V10" s="113" t="s">
        <v>99</v>
      </c>
      <c r="W10" s="113" t="s">
        <v>99</v>
      </c>
      <c r="X10" s="113" t="s">
        <v>99</v>
      </c>
      <c r="Y10" s="113" t="s">
        <v>99</v>
      </c>
      <c r="Z10" s="113" t="s">
        <v>99</v>
      </c>
      <c r="AA10" s="113" t="s">
        <v>99</v>
      </c>
      <c r="AB10" s="113" t="s">
        <v>99</v>
      </c>
      <c r="AC10" s="114" t="s">
        <v>99</v>
      </c>
    </row>
    <row r="11" spans="1:41" x14ac:dyDescent="0.25">
      <c r="A11" s="41" t="s">
        <v>334</v>
      </c>
      <c r="B11" s="41"/>
      <c r="C11" s="118"/>
      <c r="D11" s="112"/>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4"/>
    </row>
    <row r="12" spans="1:41" x14ac:dyDescent="0.25">
      <c r="A12" s="41" t="s">
        <v>335</v>
      </c>
      <c r="B12" s="41"/>
      <c r="C12" s="118"/>
      <c r="D12" s="112"/>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4"/>
    </row>
    <row r="13" spans="1:41" x14ac:dyDescent="0.25">
      <c r="A13" s="41" t="s">
        <v>336</v>
      </c>
      <c r="B13" s="41"/>
      <c r="C13" s="118"/>
      <c r="D13" s="112"/>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4"/>
    </row>
    <row r="14" spans="1:41" x14ac:dyDescent="0.25">
      <c r="A14" s="41" t="s">
        <v>337</v>
      </c>
      <c r="B14" s="41"/>
      <c r="C14" s="118"/>
      <c r="D14" s="112"/>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4"/>
    </row>
    <row r="15" spans="1:41" x14ac:dyDescent="0.25">
      <c r="A15" s="41" t="s">
        <v>338</v>
      </c>
      <c r="B15" s="41"/>
      <c r="C15" s="118"/>
      <c r="D15" s="112" t="s">
        <v>100</v>
      </c>
      <c r="E15" s="113" t="s">
        <v>100</v>
      </c>
      <c r="F15" s="113" t="s">
        <v>100</v>
      </c>
      <c r="G15" s="113" t="s">
        <v>100</v>
      </c>
      <c r="H15" s="113" t="s">
        <v>100</v>
      </c>
      <c r="I15" s="113" t="s">
        <v>100</v>
      </c>
      <c r="J15" s="113" t="s">
        <v>100</v>
      </c>
      <c r="K15" s="113" t="s">
        <v>100</v>
      </c>
      <c r="L15" s="113" t="s">
        <v>100</v>
      </c>
      <c r="M15" s="113" t="s">
        <v>100</v>
      </c>
      <c r="N15" s="113" t="s">
        <v>100</v>
      </c>
      <c r="O15" s="113" t="s">
        <v>100</v>
      </c>
      <c r="P15" s="113" t="s">
        <v>100</v>
      </c>
      <c r="Q15" s="113" t="s">
        <v>100</v>
      </c>
      <c r="R15" s="113" t="s">
        <v>100</v>
      </c>
      <c r="S15" s="113" t="s">
        <v>100</v>
      </c>
      <c r="T15" s="113" t="s">
        <v>100</v>
      </c>
      <c r="U15" s="113" t="s">
        <v>100</v>
      </c>
      <c r="V15" s="113" t="s">
        <v>100</v>
      </c>
      <c r="W15" s="113" t="s">
        <v>100</v>
      </c>
      <c r="X15" s="113" t="s">
        <v>100</v>
      </c>
      <c r="Y15" s="113" t="s">
        <v>100</v>
      </c>
      <c r="Z15" s="113" t="s">
        <v>100</v>
      </c>
      <c r="AA15" s="113" t="s">
        <v>100</v>
      </c>
      <c r="AB15" s="113" t="s">
        <v>100</v>
      </c>
      <c r="AC15" s="114" t="s">
        <v>100</v>
      </c>
    </row>
    <row r="16" spans="1:41" x14ac:dyDescent="0.25">
      <c r="A16" s="41" t="s">
        <v>339</v>
      </c>
      <c r="B16" s="41"/>
      <c r="C16" s="118"/>
      <c r="D16" s="112" t="s">
        <v>99</v>
      </c>
      <c r="E16" s="113" t="s">
        <v>99</v>
      </c>
      <c r="F16" s="113" t="s">
        <v>99</v>
      </c>
      <c r="G16" s="113" t="s">
        <v>99</v>
      </c>
      <c r="H16" s="113" t="s">
        <v>99</v>
      </c>
      <c r="I16" s="113" t="s">
        <v>99</v>
      </c>
      <c r="J16" s="113" t="s">
        <v>99</v>
      </c>
      <c r="K16" s="113" t="s">
        <v>99</v>
      </c>
      <c r="L16" s="113" t="s">
        <v>99</v>
      </c>
      <c r="M16" s="113" t="s">
        <v>99</v>
      </c>
      <c r="N16" s="113" t="s">
        <v>99</v>
      </c>
      <c r="O16" s="113" t="s">
        <v>99</v>
      </c>
      <c r="P16" s="113" t="s">
        <v>99</v>
      </c>
      <c r="Q16" s="113" t="s">
        <v>99</v>
      </c>
      <c r="R16" s="113" t="s">
        <v>99</v>
      </c>
      <c r="S16" s="113" t="s">
        <v>99</v>
      </c>
      <c r="T16" s="113" t="s">
        <v>99</v>
      </c>
      <c r="U16" s="113" t="s">
        <v>99</v>
      </c>
      <c r="V16" s="113" t="s">
        <v>99</v>
      </c>
      <c r="W16" s="113" t="s">
        <v>99</v>
      </c>
      <c r="X16" s="113" t="s">
        <v>99</v>
      </c>
      <c r="Y16" s="113" t="s">
        <v>99</v>
      </c>
      <c r="Z16" s="113" t="s">
        <v>99</v>
      </c>
      <c r="AA16" s="113" t="s">
        <v>99</v>
      </c>
      <c r="AB16" s="113" t="s">
        <v>99</v>
      </c>
      <c r="AC16" s="114" t="s">
        <v>99</v>
      </c>
    </row>
    <row r="17" spans="1:29" x14ac:dyDescent="0.25">
      <c r="A17" s="41" t="s">
        <v>340</v>
      </c>
      <c r="B17" s="41"/>
      <c r="C17" s="118"/>
      <c r="D17" s="112"/>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4"/>
    </row>
    <row r="18" spans="1:29" x14ac:dyDescent="0.25">
      <c r="A18" s="41" t="s">
        <v>341</v>
      </c>
      <c r="B18" s="41"/>
      <c r="C18" s="118"/>
      <c r="D18" s="112"/>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4"/>
    </row>
    <row r="19" spans="1:29" x14ac:dyDescent="0.25">
      <c r="A19" s="41" t="s">
        <v>342</v>
      </c>
      <c r="B19" s="41"/>
      <c r="C19" s="118"/>
      <c r="D19" s="112" t="s">
        <v>100</v>
      </c>
      <c r="E19" s="113" t="s">
        <v>100</v>
      </c>
      <c r="F19" s="113" t="s">
        <v>100</v>
      </c>
      <c r="G19" s="113" t="s">
        <v>100</v>
      </c>
      <c r="H19" s="113" t="s">
        <v>100</v>
      </c>
      <c r="I19" s="113" t="s">
        <v>100</v>
      </c>
      <c r="J19" s="113" t="s">
        <v>100</v>
      </c>
      <c r="K19" s="113" t="s">
        <v>100</v>
      </c>
      <c r="L19" s="113" t="s">
        <v>100</v>
      </c>
      <c r="M19" s="113" t="s">
        <v>100</v>
      </c>
      <c r="N19" s="113" t="s">
        <v>100</v>
      </c>
      <c r="O19" s="113" t="s">
        <v>100</v>
      </c>
      <c r="P19" s="113" t="s">
        <v>100</v>
      </c>
      <c r="Q19" s="113" t="s">
        <v>100</v>
      </c>
      <c r="R19" s="113" t="s">
        <v>100</v>
      </c>
      <c r="S19" s="113" t="s">
        <v>100</v>
      </c>
      <c r="T19" s="113" t="s">
        <v>100</v>
      </c>
      <c r="U19" s="113" t="s">
        <v>100</v>
      </c>
      <c r="V19" s="113" t="s">
        <v>100</v>
      </c>
      <c r="W19" s="113" t="s">
        <v>100</v>
      </c>
      <c r="X19" s="113" t="s">
        <v>100</v>
      </c>
      <c r="Y19" s="113" t="s">
        <v>100</v>
      </c>
      <c r="Z19" s="113" t="s">
        <v>100</v>
      </c>
      <c r="AA19" s="113" t="s">
        <v>100</v>
      </c>
      <c r="AB19" s="113" t="s">
        <v>100</v>
      </c>
      <c r="AC19" s="114" t="s">
        <v>100</v>
      </c>
    </row>
    <row r="20" spans="1:29" x14ac:dyDescent="0.25">
      <c r="A20" s="41" t="s">
        <v>343</v>
      </c>
      <c r="B20" s="41"/>
      <c r="C20" s="118"/>
      <c r="D20" s="112" t="s">
        <v>99</v>
      </c>
      <c r="E20" s="113" t="s">
        <v>99</v>
      </c>
      <c r="F20" s="113" t="s">
        <v>99</v>
      </c>
      <c r="G20" s="113" t="s">
        <v>99</v>
      </c>
      <c r="H20" s="113" t="s">
        <v>99</v>
      </c>
      <c r="I20" s="113" t="s">
        <v>99</v>
      </c>
      <c r="J20" s="113" t="s">
        <v>99</v>
      </c>
      <c r="K20" s="113" t="s">
        <v>99</v>
      </c>
      <c r="L20" s="113" t="s">
        <v>99</v>
      </c>
      <c r="M20" s="113" t="s">
        <v>99</v>
      </c>
      <c r="N20" s="113" t="s">
        <v>99</v>
      </c>
      <c r="O20" s="113" t="s">
        <v>99</v>
      </c>
      <c r="P20" s="113" t="s">
        <v>99</v>
      </c>
      <c r="Q20" s="113" t="s">
        <v>99</v>
      </c>
      <c r="R20" s="113" t="s">
        <v>99</v>
      </c>
      <c r="S20" s="113" t="s">
        <v>99</v>
      </c>
      <c r="T20" s="113" t="s">
        <v>99</v>
      </c>
      <c r="U20" s="113" t="s">
        <v>99</v>
      </c>
      <c r="V20" s="113" t="s">
        <v>99</v>
      </c>
      <c r="W20" s="113" t="s">
        <v>99</v>
      </c>
      <c r="X20" s="113" t="s">
        <v>99</v>
      </c>
      <c r="Y20" s="113" t="s">
        <v>99</v>
      </c>
      <c r="Z20" s="113" t="s">
        <v>99</v>
      </c>
      <c r="AA20" s="113" t="s">
        <v>99</v>
      </c>
      <c r="AB20" s="113" t="s">
        <v>99</v>
      </c>
      <c r="AC20" s="114" t="s">
        <v>99</v>
      </c>
    </row>
    <row r="21" spans="1:29" x14ac:dyDescent="0.25">
      <c r="A21" s="41" t="s">
        <v>344</v>
      </c>
      <c r="B21" s="41"/>
      <c r="C21" s="118"/>
      <c r="D21" s="112"/>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4"/>
    </row>
    <row r="22" spans="1:29" x14ac:dyDescent="0.25">
      <c r="A22" s="41" t="s">
        <v>345</v>
      </c>
      <c r="B22" s="41"/>
      <c r="C22" s="118"/>
      <c r="D22" s="115"/>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7"/>
    </row>
    <row r="23" spans="1:29" x14ac:dyDescent="0.25">
      <c r="A23" s="41" t="s">
        <v>346</v>
      </c>
      <c r="B23" s="41"/>
      <c r="C23" s="118"/>
      <c r="D23" s="112"/>
      <c r="E23" s="113"/>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4"/>
    </row>
    <row r="24" spans="1:29" x14ac:dyDescent="0.25">
      <c r="A24" s="41" t="s">
        <v>347</v>
      </c>
      <c r="B24" s="41"/>
      <c r="C24" s="118"/>
      <c r="D24" s="112"/>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4"/>
    </row>
    <row r="25" spans="1:29" x14ac:dyDescent="0.25">
      <c r="A25" s="41" t="s">
        <v>348</v>
      </c>
      <c r="B25" s="41"/>
      <c r="C25" s="118"/>
      <c r="D25" s="112"/>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4"/>
    </row>
    <row r="26" spans="1:29" x14ac:dyDescent="0.25">
      <c r="A26" s="41" t="s">
        <v>349</v>
      </c>
      <c r="B26" s="41"/>
      <c r="C26" s="118"/>
      <c r="D26" s="112"/>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4"/>
    </row>
    <row r="27" spans="1:29" x14ac:dyDescent="0.25">
      <c r="A27" s="41" t="s">
        <v>350</v>
      </c>
      <c r="B27" s="41"/>
      <c r="C27" s="118"/>
      <c r="D27" s="112"/>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4"/>
    </row>
    <row r="28" spans="1:29" x14ac:dyDescent="0.25">
      <c r="A28" s="41" t="s">
        <v>351</v>
      </c>
      <c r="B28" s="41"/>
      <c r="C28" s="118"/>
      <c r="D28" s="112"/>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4"/>
    </row>
    <row r="29" spans="1:29" x14ac:dyDescent="0.25">
      <c r="A29" s="41" t="s">
        <v>352</v>
      </c>
      <c r="B29" s="41"/>
      <c r="C29" s="118"/>
      <c r="D29" s="112"/>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4"/>
    </row>
    <row r="30" spans="1:29" x14ac:dyDescent="0.25">
      <c r="A30" s="41" t="s">
        <v>353</v>
      </c>
      <c r="B30" s="41"/>
      <c r="C30" s="118"/>
      <c r="D30" s="112"/>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4"/>
    </row>
    <row r="31" spans="1:29" x14ac:dyDescent="0.25">
      <c r="A31" s="41" t="s">
        <v>354</v>
      </c>
      <c r="B31" s="41"/>
      <c r="C31" s="118"/>
      <c r="D31" s="112"/>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4"/>
    </row>
    <row r="32" spans="1:29" x14ac:dyDescent="0.25">
      <c r="A32" s="41" t="s">
        <v>355</v>
      </c>
      <c r="B32" s="41"/>
      <c r="C32" s="118"/>
      <c r="D32" s="112"/>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4"/>
    </row>
    <row r="33" spans="1:29" x14ac:dyDescent="0.25">
      <c r="A33" s="41" t="s">
        <v>356</v>
      </c>
      <c r="B33" s="41"/>
      <c r="C33" s="118"/>
      <c r="D33" s="112"/>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4"/>
    </row>
    <row r="34" spans="1:29" x14ac:dyDescent="0.25">
      <c r="A34" s="41" t="s">
        <v>357</v>
      </c>
      <c r="B34" s="41"/>
      <c r="C34" s="118"/>
      <c r="D34" s="112"/>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4"/>
    </row>
    <row r="35" spans="1:29" x14ac:dyDescent="0.25">
      <c r="A35" s="41" t="s">
        <v>358</v>
      </c>
      <c r="B35" s="41"/>
      <c r="C35" s="118"/>
      <c r="D35" s="112"/>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4"/>
    </row>
    <row r="36" spans="1:29" x14ac:dyDescent="0.25">
      <c r="A36" s="41" t="s">
        <v>359</v>
      </c>
      <c r="B36" s="41"/>
      <c r="C36" s="118"/>
      <c r="D36" s="112"/>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4"/>
    </row>
    <row r="37" spans="1:29" x14ac:dyDescent="0.25">
      <c r="A37" s="41" t="s">
        <v>360</v>
      </c>
      <c r="B37" s="41"/>
      <c r="C37" s="118"/>
      <c r="D37" s="112"/>
      <c r="E37" s="113"/>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4"/>
    </row>
    <row r="38" spans="1:29" x14ac:dyDescent="0.25">
      <c r="A38" s="41" t="s">
        <v>361</v>
      </c>
      <c r="B38" s="41"/>
      <c r="C38" s="118"/>
      <c r="D38" s="112"/>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4"/>
    </row>
    <row r="39" spans="1:29" x14ac:dyDescent="0.25">
      <c r="A39" s="41" t="s">
        <v>362</v>
      </c>
      <c r="B39" s="41"/>
      <c r="C39" s="118"/>
      <c r="D39" s="112"/>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4"/>
    </row>
    <row r="40" spans="1:29" x14ac:dyDescent="0.25">
      <c r="A40" s="41" t="s">
        <v>363</v>
      </c>
      <c r="B40" s="41"/>
      <c r="C40" s="118"/>
      <c r="D40" s="112"/>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4"/>
    </row>
    <row r="41" spans="1:29" x14ac:dyDescent="0.25">
      <c r="A41" s="41" t="s">
        <v>364</v>
      </c>
      <c r="B41" s="41"/>
      <c r="C41" s="118"/>
      <c r="D41" s="112"/>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4"/>
    </row>
    <row r="42" spans="1:29" x14ac:dyDescent="0.25">
      <c r="A42" s="41" t="s">
        <v>365</v>
      </c>
      <c r="B42" s="41"/>
      <c r="C42" s="118"/>
      <c r="D42" s="112"/>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4"/>
    </row>
    <row r="43" spans="1:29" x14ac:dyDescent="0.25">
      <c r="A43" s="41" t="s">
        <v>366</v>
      </c>
      <c r="B43" s="41"/>
      <c r="C43" s="118"/>
      <c r="D43" s="112"/>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4"/>
    </row>
    <row r="44" spans="1:29" x14ac:dyDescent="0.25">
      <c r="A44" s="41" t="s">
        <v>367</v>
      </c>
      <c r="B44" s="41"/>
      <c r="C44" s="118"/>
      <c r="D44" s="112"/>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4"/>
    </row>
    <row r="45" spans="1:29" x14ac:dyDescent="0.25">
      <c r="A45" s="41" t="s">
        <v>368</v>
      </c>
      <c r="B45" s="41"/>
      <c r="C45" s="118"/>
      <c r="D45" s="112"/>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4"/>
    </row>
    <row r="46" spans="1:29" x14ac:dyDescent="0.25">
      <c r="A46" s="41" t="s">
        <v>369</v>
      </c>
      <c r="B46" s="41"/>
      <c r="C46" s="118"/>
      <c r="D46" s="112"/>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4"/>
    </row>
    <row r="47" spans="1:29" x14ac:dyDescent="0.25">
      <c r="A47" s="41" t="s">
        <v>370</v>
      </c>
      <c r="B47" s="41"/>
      <c r="C47" s="118"/>
      <c r="D47" s="112"/>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4"/>
    </row>
    <row r="48" spans="1:29" x14ac:dyDescent="0.25">
      <c r="A48" s="41" t="s">
        <v>371</v>
      </c>
      <c r="B48" s="41"/>
      <c r="C48" s="118"/>
      <c r="D48" s="112"/>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4"/>
    </row>
    <row r="49" spans="1:29" x14ac:dyDescent="0.25">
      <c r="A49" s="41" t="s">
        <v>372</v>
      </c>
      <c r="B49" s="41"/>
      <c r="C49" s="118"/>
      <c r="D49" s="112"/>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4"/>
    </row>
    <row r="50" spans="1:29" x14ac:dyDescent="0.25">
      <c r="A50" s="41" t="s">
        <v>373</v>
      </c>
      <c r="B50" s="41"/>
      <c r="C50" s="118"/>
      <c r="D50" s="112"/>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4"/>
    </row>
    <row r="51" spans="1:29" x14ac:dyDescent="0.25">
      <c r="A51" s="41" t="s">
        <v>374</v>
      </c>
      <c r="B51" s="41"/>
      <c r="C51" s="118"/>
      <c r="D51" s="112"/>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4"/>
    </row>
    <row r="52" spans="1:29" x14ac:dyDescent="0.25">
      <c r="A52" s="41" t="s">
        <v>375</v>
      </c>
      <c r="B52" s="41"/>
      <c r="C52" s="118"/>
      <c r="D52" s="112"/>
      <c r="E52" s="113"/>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4"/>
    </row>
    <row r="53" spans="1:29" x14ac:dyDescent="0.25">
      <c r="A53" s="41" t="s">
        <v>376</v>
      </c>
      <c r="B53" s="41"/>
      <c r="C53" s="118"/>
      <c r="D53" s="112"/>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4"/>
    </row>
    <row r="54" spans="1:29" x14ac:dyDescent="0.25">
      <c r="A54" s="41" t="s">
        <v>377</v>
      </c>
      <c r="B54" s="41"/>
      <c r="C54" s="118"/>
      <c r="D54" s="112"/>
      <c r="E54" s="113"/>
      <c r="F54" s="113"/>
      <c r="G54" s="113"/>
      <c r="H54" s="113"/>
      <c r="I54" s="113"/>
      <c r="J54" s="113"/>
      <c r="K54" s="113"/>
      <c r="L54" s="113"/>
      <c r="M54" s="113"/>
      <c r="N54" s="113"/>
      <c r="O54" s="113"/>
      <c r="P54" s="113"/>
      <c r="Q54" s="113"/>
      <c r="R54" s="113"/>
      <c r="S54" s="113"/>
      <c r="T54" s="113"/>
      <c r="U54" s="113"/>
      <c r="V54" s="113"/>
      <c r="W54" s="113"/>
      <c r="X54" s="113"/>
      <c r="Y54" s="113"/>
      <c r="Z54" s="113"/>
      <c r="AA54" s="113"/>
      <c r="AB54" s="113"/>
      <c r="AC54" s="114"/>
    </row>
    <row r="55" spans="1:29" x14ac:dyDescent="0.25">
      <c r="A55" s="41" t="s">
        <v>378</v>
      </c>
      <c r="B55" s="41"/>
      <c r="C55" s="118"/>
      <c r="D55" s="112"/>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4"/>
    </row>
    <row r="56" spans="1:29" x14ac:dyDescent="0.25">
      <c r="A56" s="41" t="s">
        <v>379</v>
      </c>
      <c r="B56" s="41"/>
      <c r="C56" s="118"/>
      <c r="D56" s="112"/>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4"/>
    </row>
  </sheetData>
  <phoneticPr fontId="5" type="noConversion"/>
  <dataValidations count="1">
    <dataValidation type="list" allowBlank="1" showInputMessage="1" showErrorMessage="1" sqref="D3:AC56">
      <formula1>"R, 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sertNewRowInReviewerTable">
                <anchor>
                  <from>
                    <xdr:col>3</xdr:col>
                    <xdr:colOff>152400</xdr:colOff>
                    <xdr:row>0</xdr:row>
                    <xdr:rowOff>200025</xdr:rowOff>
                  </from>
                  <to>
                    <xdr:col>9</xdr:col>
                    <xdr:colOff>133350</xdr:colOff>
                    <xdr:row>0</xdr:row>
                    <xdr:rowOff>581025</xdr:rowOff>
                  </to>
                </anchor>
              </controlPr>
            </control>
          </mc:Choice>
        </mc:AlternateContent>
        <mc:AlternateContent xmlns:mc="http://schemas.openxmlformats.org/markup-compatibility/2006">
          <mc:Choice Requires="x14">
            <control shapeId="2050" r:id="rId4" name="Button 2">
              <controlPr defaultSize="0" print="0" autoFill="0" autoPict="0" macro="[0]!InsertNewColInReviewerTable">
                <anchor>
                  <from>
                    <xdr:col>12</xdr:col>
                    <xdr:colOff>142875</xdr:colOff>
                    <xdr:row>0</xdr:row>
                    <xdr:rowOff>200025</xdr:rowOff>
                  </from>
                  <to>
                    <xdr:col>18</xdr:col>
                    <xdr:colOff>133350</xdr:colOff>
                    <xdr:row>0</xdr:row>
                    <xdr:rowOff>581025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249977111117893"/>
  </sheetPr>
  <dimension ref="A1:Z100"/>
  <sheetViews>
    <sheetView zoomScale="110" zoomScaleNormal="110" workbookViewId="0">
      <selection activeCell="A3" sqref="A3"/>
    </sheetView>
  </sheetViews>
  <sheetFormatPr defaultRowHeight="15" x14ac:dyDescent="0.25"/>
  <cols>
    <col min="1" max="1" width="4.7109375" style="1" customWidth="1"/>
    <col min="2" max="2" width="10.7109375" style="1" customWidth="1"/>
    <col min="3" max="7" width="8.28515625" style="1" customWidth="1"/>
    <col min="8" max="8" width="8.5703125" style="1" customWidth="1"/>
    <col min="9" max="16" width="8.5703125" customWidth="1"/>
  </cols>
  <sheetData>
    <row r="1" spans="1:26" ht="26.1" customHeight="1" x14ac:dyDescent="0.25"/>
    <row r="3" spans="1:26" ht="15" customHeight="1" x14ac:dyDescent="0.25">
      <c r="B3" s="94" t="s">
        <v>220</v>
      </c>
      <c r="C3" s="93"/>
      <c r="D3" s="93"/>
      <c r="E3" s="93"/>
      <c r="F3" s="93"/>
      <c r="G3" s="93"/>
    </row>
    <row r="4" spans="1:26" ht="15" customHeight="1" x14ac:dyDescent="0.25">
      <c r="B4" s="97" t="s">
        <v>224</v>
      </c>
      <c r="C4" s="95" t="s">
        <v>221</v>
      </c>
    </row>
    <row r="5" spans="1:26" s="34" customFormat="1" ht="30" customHeight="1" x14ac:dyDescent="0.25">
      <c r="B5" s="84" t="s">
        <v>215</v>
      </c>
      <c r="C5" s="98" t="s">
        <v>222</v>
      </c>
      <c r="D5" s="99" t="s">
        <v>223</v>
      </c>
      <c r="E5" s="100" t="s">
        <v>211</v>
      </c>
      <c r="F5" s="34" t="s">
        <v>216</v>
      </c>
    </row>
    <row r="6" spans="1:26" ht="15" customHeight="1" x14ac:dyDescent="0.25">
      <c r="B6" s="1" t="s">
        <v>123</v>
      </c>
      <c r="C6" s="96">
        <v>1</v>
      </c>
      <c r="D6" s="96"/>
      <c r="E6" s="96">
        <v>1</v>
      </c>
      <c r="F6" s="96">
        <v>2</v>
      </c>
    </row>
    <row r="7" spans="1:26" ht="15" customHeight="1" x14ac:dyDescent="0.25">
      <c r="B7" s="1" t="s">
        <v>135</v>
      </c>
      <c r="C7" s="96"/>
      <c r="D7" s="96">
        <v>1</v>
      </c>
      <c r="E7" s="96">
        <v>1</v>
      </c>
      <c r="F7" s="96">
        <v>2</v>
      </c>
    </row>
    <row r="8" spans="1:26" ht="15" customHeight="1" x14ac:dyDescent="0.25">
      <c r="B8" s="1" t="s">
        <v>25</v>
      </c>
      <c r="C8" s="96">
        <v>7</v>
      </c>
      <c r="D8" s="96">
        <v>2</v>
      </c>
      <c r="E8" s="96">
        <v>3</v>
      </c>
      <c r="F8" s="96">
        <v>12</v>
      </c>
    </row>
    <row r="9" spans="1:26" ht="15" customHeight="1" x14ac:dyDescent="0.25">
      <c r="B9" s="1" t="s">
        <v>391</v>
      </c>
      <c r="C9" s="96"/>
      <c r="D9" s="96"/>
      <c r="E9" s="96">
        <v>1</v>
      </c>
      <c r="F9" s="96">
        <v>1</v>
      </c>
    </row>
    <row r="10" spans="1:26" ht="15" customHeight="1" x14ac:dyDescent="0.25">
      <c r="B10" s="1" t="s">
        <v>392</v>
      </c>
      <c r="C10" s="96">
        <v>1</v>
      </c>
      <c r="D10" s="96"/>
      <c r="E10" s="96"/>
      <c r="F10" s="96">
        <v>1</v>
      </c>
    </row>
    <row r="11" spans="1:26" ht="15" customHeight="1" x14ac:dyDescent="0.25">
      <c r="B11" s="30" t="s">
        <v>393</v>
      </c>
      <c r="C11" s="96">
        <v>1</v>
      </c>
      <c r="D11" s="96"/>
      <c r="E11" s="96"/>
      <c r="F11" s="96">
        <v>1</v>
      </c>
    </row>
    <row r="12" spans="1:26" s="34" customFormat="1" ht="15" customHeight="1" x14ac:dyDescent="0.25">
      <c r="A12" s="1"/>
      <c r="B12" s="30" t="s">
        <v>216</v>
      </c>
      <c r="C12" s="96">
        <v>10</v>
      </c>
      <c r="D12" s="96">
        <v>3</v>
      </c>
      <c r="E12" s="96">
        <v>6</v>
      </c>
      <c r="F12" s="96">
        <v>19</v>
      </c>
      <c r="G12" s="1"/>
      <c r="H12" s="1"/>
      <c r="I12"/>
      <c r="J12"/>
      <c r="K12"/>
      <c r="L12"/>
      <c r="M12"/>
      <c r="N12"/>
      <c r="O12"/>
      <c r="P12"/>
      <c r="Q12"/>
      <c r="R12"/>
      <c r="S12"/>
      <c r="T12"/>
      <c r="U12"/>
      <c r="V12"/>
      <c r="W12"/>
      <c r="X12"/>
      <c r="Y12"/>
      <c r="Z12"/>
    </row>
    <row r="13" spans="1:26" ht="15" customHeight="1" x14ac:dyDescent="0.25">
      <c r="C13" s="128"/>
      <c r="D13" s="129"/>
      <c r="E13" s="130"/>
    </row>
    <row r="14" spans="1:26" s="34" customFormat="1" ht="15" customHeight="1" x14ac:dyDescent="0.25">
      <c r="A14" s="1"/>
      <c r="B14" s="1"/>
      <c r="C14" s="1"/>
      <c r="D14" s="1"/>
      <c r="E14" s="1"/>
      <c r="F14" s="1"/>
      <c r="G14" s="1"/>
      <c r="H14" s="1"/>
      <c r="I14"/>
      <c r="J14"/>
      <c r="K14"/>
      <c r="L14"/>
      <c r="M14"/>
      <c r="N14"/>
      <c r="O14"/>
      <c r="P14"/>
      <c r="Q14"/>
      <c r="R14"/>
      <c r="S14"/>
      <c r="T14"/>
      <c r="U14"/>
      <c r="V14"/>
      <c r="W14"/>
      <c r="X14"/>
      <c r="Y14"/>
      <c r="Z14"/>
    </row>
    <row r="15" spans="1:26" ht="15" customHeight="1" x14ac:dyDescent="0.25">
      <c r="B15" s="133" t="s">
        <v>225</v>
      </c>
      <c r="C15" s="93"/>
      <c r="D15" s="93"/>
      <c r="E15" s="93"/>
      <c r="F15" s="93"/>
      <c r="G15" s="93"/>
    </row>
    <row r="16" spans="1:26" ht="15" customHeight="1" x14ac:dyDescent="0.25">
      <c r="B16" s="95" t="s">
        <v>224</v>
      </c>
      <c r="C16" s="95" t="s">
        <v>221</v>
      </c>
    </row>
    <row r="17" spans="2:7" s="34" customFormat="1" ht="30" customHeight="1" x14ac:dyDescent="0.25">
      <c r="B17" s="84" t="s">
        <v>215</v>
      </c>
      <c r="C17" s="34" t="s">
        <v>125</v>
      </c>
      <c r="D17" s="34" t="s">
        <v>309</v>
      </c>
      <c r="E17" s="34" t="s">
        <v>128</v>
      </c>
      <c r="F17" s="34" t="s">
        <v>104</v>
      </c>
      <c r="G17" s="34" t="s">
        <v>216</v>
      </c>
    </row>
    <row r="18" spans="2:7" ht="15" customHeight="1" x14ac:dyDescent="0.25">
      <c r="B18" s="1" t="s">
        <v>123</v>
      </c>
      <c r="C18" s="96"/>
      <c r="D18" s="96"/>
      <c r="E18" s="96"/>
      <c r="F18" s="96">
        <v>2</v>
      </c>
      <c r="G18" s="96">
        <v>2</v>
      </c>
    </row>
    <row r="19" spans="2:7" ht="15" customHeight="1" x14ac:dyDescent="0.25">
      <c r="B19" s="1" t="s">
        <v>135</v>
      </c>
      <c r="C19" s="96"/>
      <c r="D19" s="96"/>
      <c r="E19" s="96"/>
      <c r="F19" s="96">
        <v>2</v>
      </c>
      <c r="G19" s="96">
        <v>2</v>
      </c>
    </row>
    <row r="20" spans="2:7" ht="15" customHeight="1" x14ac:dyDescent="0.25">
      <c r="B20" s="1" t="s">
        <v>25</v>
      </c>
      <c r="C20" s="96">
        <v>1</v>
      </c>
      <c r="D20" s="96">
        <v>3</v>
      </c>
      <c r="E20" s="96">
        <v>2</v>
      </c>
      <c r="F20" s="96">
        <v>7</v>
      </c>
      <c r="G20" s="96">
        <v>13</v>
      </c>
    </row>
    <row r="21" spans="2:7" ht="15" customHeight="1" x14ac:dyDescent="0.25">
      <c r="B21" s="1" t="s">
        <v>391</v>
      </c>
      <c r="C21" s="96"/>
      <c r="D21" s="96"/>
      <c r="E21" s="96"/>
      <c r="F21" s="96">
        <v>1</v>
      </c>
      <c r="G21" s="96">
        <v>1</v>
      </c>
    </row>
    <row r="22" spans="2:7" ht="15" customHeight="1" x14ac:dyDescent="0.25">
      <c r="B22" s="1" t="s">
        <v>392</v>
      </c>
      <c r="C22" s="96"/>
      <c r="D22" s="96"/>
      <c r="E22" s="96"/>
      <c r="F22" s="96">
        <v>1</v>
      </c>
      <c r="G22" s="96">
        <v>1</v>
      </c>
    </row>
    <row r="23" spans="2:7" ht="15" customHeight="1" x14ac:dyDescent="0.25">
      <c r="B23" s="1" t="s">
        <v>393</v>
      </c>
      <c r="C23" s="96"/>
      <c r="D23" s="96"/>
      <c r="E23" s="96"/>
      <c r="F23" s="96">
        <v>1</v>
      </c>
      <c r="G23" s="96">
        <v>1</v>
      </c>
    </row>
    <row r="24" spans="2:7" ht="15" customHeight="1" x14ac:dyDescent="0.25">
      <c r="B24" s="1" t="s">
        <v>216</v>
      </c>
      <c r="C24" s="96">
        <v>1</v>
      </c>
      <c r="D24" s="96">
        <v>3</v>
      </c>
      <c r="E24" s="96">
        <v>2</v>
      </c>
      <c r="F24" s="96">
        <v>14</v>
      </c>
      <c r="G24" s="96">
        <v>20</v>
      </c>
    </row>
    <row r="25" spans="2:7" ht="15" customHeight="1" x14ac:dyDescent="0.25"/>
    <row r="26" spans="2:7" ht="15" customHeight="1" x14ac:dyDescent="0.25"/>
    <row r="27" spans="2:7" ht="15" customHeight="1" x14ac:dyDescent="0.25"/>
    <row r="28" spans="2:7" ht="15" customHeight="1" x14ac:dyDescent="0.25"/>
    <row r="29" spans="2:7" ht="15" customHeight="1" x14ac:dyDescent="0.25"/>
    <row r="30" spans="2:7" ht="15" customHeight="1" x14ac:dyDescent="0.25"/>
    <row r="31" spans="2:7" ht="15" customHeight="1" x14ac:dyDescent="0.25"/>
    <row r="32" spans="2:7"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6" r:id="rId5" name="Button 2">
              <controlPr defaultSize="0" print="0" autoFill="0" autoPict="0" macro="[0]!ManualCreateMetricPivots">
                <anchor>
                  <from>
                    <xdr:col>10</xdr:col>
                    <xdr:colOff>19050</xdr:colOff>
                    <xdr:row>0</xdr:row>
                    <xdr:rowOff>171450</xdr:rowOff>
                  </from>
                  <to>
                    <xdr:col>12</xdr:col>
                    <xdr:colOff>9525</xdr:colOff>
                    <xdr:row>2</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J100"/>
  <sheetViews>
    <sheetView zoomScale="90" zoomScaleNormal="90" workbookViewId="0">
      <pane ySplit="10" topLeftCell="A11" activePane="bottomLeft" state="frozen"/>
      <selection pane="bottomLeft"/>
    </sheetView>
  </sheetViews>
  <sheetFormatPr defaultRowHeight="15" x14ac:dyDescent="0.25"/>
  <cols>
    <col min="1" max="1" width="10.28515625" style="1" customWidth="1"/>
    <col min="2" max="2" width="30.7109375" style="30" customWidth="1"/>
    <col min="3" max="3" width="7.7109375" style="1" customWidth="1"/>
    <col min="4" max="4" width="20.7109375" style="1" customWidth="1"/>
    <col min="5" max="5" width="12.28515625" style="1" customWidth="1"/>
    <col min="6" max="6" width="14.85546875" style="1" customWidth="1"/>
    <col min="7" max="7" width="15.140625" style="1" customWidth="1"/>
    <col min="8" max="8" width="20.28515625" style="1" customWidth="1"/>
    <col min="9" max="9" width="15.140625" style="1" customWidth="1"/>
    <col min="10" max="10" width="20.28515625" style="1" customWidth="1"/>
  </cols>
  <sheetData>
    <row r="1" spans="1:10" ht="15" customHeight="1" x14ac:dyDescent="0.25"/>
    <row r="2" spans="1:10" ht="15" customHeight="1" x14ac:dyDescent="0.25"/>
    <row r="3" spans="1:10" ht="15" customHeight="1" x14ac:dyDescent="0.25"/>
    <row r="4" spans="1:10" ht="15" customHeight="1" x14ac:dyDescent="0.25"/>
    <row r="5" spans="1:10" ht="15" customHeight="1" x14ac:dyDescent="0.25"/>
    <row r="6" spans="1:10" ht="15" customHeight="1" x14ac:dyDescent="0.25"/>
    <row r="7" spans="1:10" ht="15" customHeight="1" x14ac:dyDescent="0.25"/>
    <row r="8" spans="1:10" ht="15" customHeight="1" x14ac:dyDescent="0.25"/>
    <row r="9" spans="1:10" ht="30" customHeight="1" x14ac:dyDescent="0.25">
      <c r="A9" s="91" t="s">
        <v>103</v>
      </c>
    </row>
    <row r="10" spans="1:10" s="34" customFormat="1" ht="30" x14ac:dyDescent="0.25">
      <c r="A10" s="84" t="s">
        <v>2</v>
      </c>
      <c r="B10" s="85" t="s">
        <v>3</v>
      </c>
      <c r="C10" s="84" t="s">
        <v>0</v>
      </c>
      <c r="D10" s="84" t="s">
        <v>4</v>
      </c>
      <c r="E10" s="84" t="s">
        <v>5</v>
      </c>
      <c r="F10" s="84" t="s">
        <v>7</v>
      </c>
      <c r="G10" s="84" t="s">
        <v>8</v>
      </c>
      <c r="H10" s="84" t="s">
        <v>9</v>
      </c>
      <c r="I10" s="84" t="s">
        <v>15</v>
      </c>
      <c r="J10" s="84" t="s">
        <v>219</v>
      </c>
    </row>
    <row r="11" spans="1:10" ht="15" customHeight="1" x14ac:dyDescent="0.25">
      <c r="A11" s="1" t="s">
        <v>27</v>
      </c>
      <c r="B11" s="30" t="s">
        <v>439</v>
      </c>
      <c r="C11" s="1" t="s">
        <v>123</v>
      </c>
      <c r="D11" s="1" t="s">
        <v>210</v>
      </c>
      <c r="E11" s="1" t="s">
        <v>138</v>
      </c>
      <c r="F11" s="92">
        <v>44163</v>
      </c>
      <c r="G11" s="92">
        <v>44163</v>
      </c>
      <c r="H11" s="1" t="s">
        <v>211</v>
      </c>
      <c r="I11" s="1" t="s">
        <v>104</v>
      </c>
      <c r="J11" s="1" t="s">
        <v>104</v>
      </c>
    </row>
    <row r="12" spans="1:10" ht="15" customHeight="1" x14ac:dyDescent="0.25">
      <c r="C12" s="1" t="s">
        <v>135</v>
      </c>
      <c r="D12" s="1" t="s">
        <v>210</v>
      </c>
      <c r="E12" s="1" t="s">
        <v>137</v>
      </c>
      <c r="F12" s="92">
        <v>43968</v>
      </c>
      <c r="G12" s="92">
        <v>43968</v>
      </c>
      <c r="H12" s="1" t="s">
        <v>211</v>
      </c>
      <c r="I12" s="92">
        <v>44013</v>
      </c>
      <c r="J12" s="1" t="s">
        <v>104</v>
      </c>
    </row>
    <row r="13" spans="1:10" ht="15" customHeight="1" x14ac:dyDescent="0.25">
      <c r="C13" s="1" t="s">
        <v>25</v>
      </c>
      <c r="D13" s="1" t="s">
        <v>191</v>
      </c>
      <c r="E13" s="1" t="s">
        <v>136</v>
      </c>
      <c r="F13" s="92">
        <v>43776</v>
      </c>
      <c r="G13" s="92">
        <v>43776</v>
      </c>
      <c r="H13" s="1" t="s">
        <v>211</v>
      </c>
      <c r="I13" s="1" t="s">
        <v>104</v>
      </c>
      <c r="J13" s="1" t="s">
        <v>104</v>
      </c>
    </row>
    <row r="14" spans="1:10" ht="15" customHeight="1" x14ac:dyDescent="0.25">
      <c r="D14" s="1" t="s">
        <v>194</v>
      </c>
      <c r="E14" s="1" t="s">
        <v>136</v>
      </c>
      <c r="F14" s="92">
        <v>43901</v>
      </c>
      <c r="G14" s="92">
        <v>43900</v>
      </c>
      <c r="H14" s="1" t="s">
        <v>213</v>
      </c>
      <c r="I14" s="92">
        <v>43932</v>
      </c>
      <c r="J14" s="1" t="s">
        <v>309</v>
      </c>
    </row>
    <row r="15" spans="1:10" ht="15" customHeight="1" x14ac:dyDescent="0.25">
      <c r="D15" s="1" t="s">
        <v>195</v>
      </c>
      <c r="E15" s="1" t="s">
        <v>193</v>
      </c>
      <c r="F15" s="92">
        <v>43859</v>
      </c>
      <c r="G15" s="92">
        <v>43858</v>
      </c>
      <c r="H15" s="1" t="s">
        <v>213</v>
      </c>
      <c r="I15" s="92">
        <v>43891</v>
      </c>
      <c r="J15" s="1" t="s">
        <v>309</v>
      </c>
    </row>
    <row r="16" spans="1:10" ht="15" customHeight="1" x14ac:dyDescent="0.25">
      <c r="I16" s="1" t="s">
        <v>104</v>
      </c>
      <c r="J16" s="1" t="s">
        <v>104</v>
      </c>
    </row>
    <row r="17" spans="1:10" ht="15" customHeight="1" x14ac:dyDescent="0.25">
      <c r="D17" s="1" t="s">
        <v>192</v>
      </c>
      <c r="E17" s="1" t="s">
        <v>136</v>
      </c>
      <c r="F17" s="92">
        <v>43787</v>
      </c>
      <c r="G17" s="92">
        <v>43784</v>
      </c>
      <c r="H17" s="1" t="s">
        <v>214</v>
      </c>
      <c r="I17" s="92">
        <v>43818</v>
      </c>
      <c r="J17" s="1" t="s">
        <v>104</v>
      </c>
    </row>
    <row r="18" spans="1:10" ht="15" customHeight="1" x14ac:dyDescent="0.25">
      <c r="D18" s="1" t="s">
        <v>28</v>
      </c>
      <c r="E18" s="1" t="s">
        <v>136</v>
      </c>
      <c r="F18" s="92">
        <v>43739</v>
      </c>
      <c r="G18" s="92">
        <v>43739</v>
      </c>
      <c r="H18" s="1" t="s">
        <v>211</v>
      </c>
      <c r="I18" s="92">
        <v>43740</v>
      </c>
      <c r="J18" s="1" t="s">
        <v>128</v>
      </c>
    </row>
    <row r="19" spans="1:10" ht="15" customHeight="1" x14ac:dyDescent="0.25">
      <c r="E19" s="1" t="s">
        <v>193</v>
      </c>
      <c r="F19" s="92">
        <v>43754</v>
      </c>
      <c r="G19" s="92">
        <v>43753</v>
      </c>
      <c r="H19" s="1" t="s">
        <v>213</v>
      </c>
      <c r="I19" s="92">
        <v>43784</v>
      </c>
      <c r="J19" s="1" t="s">
        <v>125</v>
      </c>
    </row>
    <row r="20" spans="1:10" ht="15" customHeight="1" x14ac:dyDescent="0.25">
      <c r="E20" s="1" t="s">
        <v>138</v>
      </c>
      <c r="F20" s="92">
        <v>43741</v>
      </c>
      <c r="G20" s="92">
        <v>43742</v>
      </c>
      <c r="H20" s="1" t="s">
        <v>212</v>
      </c>
      <c r="I20" s="1" t="s">
        <v>104</v>
      </c>
      <c r="J20" s="1" t="s">
        <v>104</v>
      </c>
    </row>
    <row r="21" spans="1:10" ht="15" customHeight="1" x14ac:dyDescent="0.25">
      <c r="E21" s="1" t="s">
        <v>139</v>
      </c>
      <c r="F21" s="92">
        <v>43745</v>
      </c>
      <c r="G21" s="92">
        <v>43745</v>
      </c>
      <c r="H21" s="1" t="s">
        <v>211</v>
      </c>
      <c r="I21" s="1" t="s">
        <v>104</v>
      </c>
      <c r="J21" s="1" t="s">
        <v>104</v>
      </c>
    </row>
    <row r="22" spans="1:10" ht="15" customHeight="1" x14ac:dyDescent="0.25">
      <c r="A22" s="1" t="s">
        <v>32</v>
      </c>
      <c r="B22" s="30" t="s">
        <v>439</v>
      </c>
      <c r="C22" s="1" t="s">
        <v>25</v>
      </c>
      <c r="D22" s="1" t="s">
        <v>210</v>
      </c>
      <c r="E22" s="1" t="s">
        <v>137</v>
      </c>
      <c r="F22" s="92">
        <v>43956</v>
      </c>
      <c r="G22" s="92">
        <v>43954</v>
      </c>
      <c r="H22" s="1" t="s">
        <v>316</v>
      </c>
      <c r="I22" s="92">
        <v>43976</v>
      </c>
      <c r="J22" s="1" t="s">
        <v>128</v>
      </c>
    </row>
    <row r="23" spans="1:10" ht="15" customHeight="1" x14ac:dyDescent="0.25">
      <c r="F23" s="92">
        <v>43983</v>
      </c>
      <c r="G23" s="92">
        <v>43979</v>
      </c>
      <c r="H23" s="1" t="s">
        <v>324</v>
      </c>
      <c r="I23" s="92">
        <v>44013</v>
      </c>
      <c r="J23" s="1" t="s">
        <v>309</v>
      </c>
    </row>
    <row r="24" spans="1:10" ht="15" customHeight="1" x14ac:dyDescent="0.25">
      <c r="E24" s="1" t="s">
        <v>104</v>
      </c>
      <c r="F24" s="1" t="s">
        <v>104</v>
      </c>
      <c r="G24" s="1" t="s">
        <v>104</v>
      </c>
      <c r="I24" s="1" t="s">
        <v>104</v>
      </c>
      <c r="J24" s="1" t="s">
        <v>104</v>
      </c>
    </row>
    <row r="25" spans="1:10" ht="15" customHeight="1" x14ac:dyDescent="0.25">
      <c r="A25" s="1" t="s">
        <v>33</v>
      </c>
      <c r="B25" s="30" t="s">
        <v>439</v>
      </c>
      <c r="C25" s="1" t="s">
        <v>25</v>
      </c>
      <c r="D25" s="1" t="s">
        <v>210</v>
      </c>
      <c r="E25" s="1" t="s">
        <v>137</v>
      </c>
      <c r="F25" s="92">
        <v>43997</v>
      </c>
      <c r="G25" s="1" t="s">
        <v>104</v>
      </c>
      <c r="H25" s="1" t="s">
        <v>325</v>
      </c>
      <c r="I25" s="1" t="s">
        <v>104</v>
      </c>
      <c r="J25" s="1" t="s">
        <v>104</v>
      </c>
    </row>
    <row r="26" spans="1:10" ht="15" customHeight="1" x14ac:dyDescent="0.25">
      <c r="A26" s="1" t="s">
        <v>34</v>
      </c>
      <c r="B26" s="30" t="s">
        <v>132</v>
      </c>
      <c r="C26" s="1" t="s">
        <v>392</v>
      </c>
      <c r="D26" s="1" t="s">
        <v>450</v>
      </c>
      <c r="E26" s="1" t="s">
        <v>137</v>
      </c>
      <c r="F26" s="92">
        <v>44140</v>
      </c>
      <c r="G26" s="92">
        <v>44139</v>
      </c>
      <c r="H26" s="1" t="s">
        <v>213</v>
      </c>
      <c r="I26" s="1" t="s">
        <v>104</v>
      </c>
      <c r="J26" s="1" t="s">
        <v>104</v>
      </c>
    </row>
    <row r="27" spans="1:10" ht="15" customHeight="1" x14ac:dyDescent="0.25">
      <c r="A27" s="1" t="s">
        <v>41</v>
      </c>
      <c r="B27" s="30" t="s">
        <v>439</v>
      </c>
      <c r="C27" s="1" t="s">
        <v>135</v>
      </c>
      <c r="D27" s="1" t="s">
        <v>305</v>
      </c>
      <c r="E27" s="1" t="s">
        <v>137</v>
      </c>
      <c r="F27" s="92">
        <v>43966</v>
      </c>
      <c r="G27" s="92">
        <v>43967</v>
      </c>
      <c r="H27" s="1" t="s">
        <v>212</v>
      </c>
      <c r="I27" s="92">
        <v>43997</v>
      </c>
      <c r="J27" s="1" t="s">
        <v>104</v>
      </c>
    </row>
    <row r="28" spans="1:10" ht="15" customHeight="1" x14ac:dyDescent="0.25">
      <c r="A28" s="1" t="s">
        <v>42</v>
      </c>
      <c r="B28" s="30" t="s">
        <v>439</v>
      </c>
      <c r="C28" s="1" t="s">
        <v>123</v>
      </c>
      <c r="D28" s="1" t="s">
        <v>305</v>
      </c>
      <c r="E28" s="1" t="s">
        <v>138</v>
      </c>
      <c r="F28" s="92">
        <v>43983</v>
      </c>
      <c r="G28" s="92">
        <v>43981</v>
      </c>
      <c r="H28" s="1" t="s">
        <v>316</v>
      </c>
      <c r="I28" s="1" t="s">
        <v>104</v>
      </c>
      <c r="J28" s="1" t="s">
        <v>104</v>
      </c>
    </row>
    <row r="29" spans="1:10" ht="15" customHeight="1" x14ac:dyDescent="0.25">
      <c r="A29" s="1" t="s">
        <v>427</v>
      </c>
      <c r="B29" s="30" t="s">
        <v>436</v>
      </c>
      <c r="C29" s="1" t="s">
        <v>391</v>
      </c>
      <c r="D29" s="1" t="s">
        <v>448</v>
      </c>
      <c r="E29" s="1" t="s">
        <v>137</v>
      </c>
      <c r="F29" s="92">
        <v>44138</v>
      </c>
      <c r="G29" s="92">
        <v>44138</v>
      </c>
      <c r="H29" s="1" t="s">
        <v>211</v>
      </c>
      <c r="I29" s="1" t="s">
        <v>104</v>
      </c>
      <c r="J29" s="1" t="s">
        <v>104</v>
      </c>
    </row>
    <row r="30" spans="1:10" ht="15" customHeight="1" x14ac:dyDescent="0.25">
      <c r="A30" s="1" t="s">
        <v>428</v>
      </c>
      <c r="B30" s="30" t="s">
        <v>437</v>
      </c>
      <c r="C30" s="1" t="s">
        <v>393</v>
      </c>
      <c r="D30" s="1" t="s">
        <v>452</v>
      </c>
      <c r="E30" s="1" t="s">
        <v>137</v>
      </c>
      <c r="F30" s="92">
        <v>44141</v>
      </c>
      <c r="G30" s="92">
        <v>44137</v>
      </c>
      <c r="H30" s="1" t="s">
        <v>324</v>
      </c>
      <c r="I30" s="1" t="s">
        <v>104</v>
      </c>
      <c r="J30" s="1" t="s">
        <v>104</v>
      </c>
    </row>
    <row r="31" spans="1:10" ht="15" customHeight="1" x14ac:dyDescent="0.25"/>
    <row r="32" spans="1:10"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ManualCreateReportPivot">
                <anchor>
                  <from>
                    <xdr:col>7</xdr:col>
                    <xdr:colOff>542925</xdr:colOff>
                    <xdr:row>1</xdr:row>
                    <xdr:rowOff>133350</xdr:rowOff>
                  </from>
                  <to>
                    <xdr:col>8</xdr:col>
                    <xdr:colOff>419100</xdr:colOff>
                    <xdr:row>3</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A1:K9"/>
  <sheetViews>
    <sheetView zoomScaleNormal="100" workbookViewId="0">
      <selection activeCell="K2" sqref="K2"/>
    </sheetView>
  </sheetViews>
  <sheetFormatPr defaultRowHeight="15" x14ac:dyDescent="0.25"/>
  <cols>
    <col min="1" max="1" width="39.7109375" customWidth="1"/>
    <col min="5" max="5" width="33.5703125" customWidth="1"/>
    <col min="6" max="6" width="13.5703125" customWidth="1"/>
    <col min="7" max="7" width="14.5703125" customWidth="1"/>
    <col min="9" max="9" width="10.28515625" customWidth="1"/>
    <col min="10" max="10" width="10.42578125" customWidth="1"/>
  </cols>
  <sheetData>
    <row r="1" spans="1:11" s="65" customFormat="1" ht="20.100000000000001" customHeight="1" x14ac:dyDescent="0.25">
      <c r="A1" s="64" t="s">
        <v>189</v>
      </c>
      <c r="B1" s="4">
        <v>1</v>
      </c>
      <c r="C1" s="4">
        <v>2</v>
      </c>
      <c r="D1" s="4">
        <v>3</v>
      </c>
      <c r="E1" s="4">
        <v>4</v>
      </c>
      <c r="F1" s="4">
        <v>5</v>
      </c>
      <c r="G1" s="4">
        <v>6</v>
      </c>
      <c r="H1" s="4">
        <v>7</v>
      </c>
      <c r="I1" s="4">
        <v>8</v>
      </c>
      <c r="J1" s="4">
        <v>9</v>
      </c>
      <c r="K1" s="4">
        <v>10</v>
      </c>
    </row>
    <row r="2" spans="1:11" ht="52.7" customHeight="1" x14ac:dyDescent="0.25">
      <c r="A2" s="44" t="s">
        <v>190</v>
      </c>
      <c r="B2" s="44" t="s">
        <v>0</v>
      </c>
      <c r="C2" s="44" t="s">
        <v>1</v>
      </c>
      <c r="D2" s="44" t="s">
        <v>2</v>
      </c>
      <c r="E2" s="44" t="s">
        <v>3</v>
      </c>
      <c r="F2" s="44" t="s">
        <v>4</v>
      </c>
      <c r="G2" s="44" t="s">
        <v>5</v>
      </c>
      <c r="H2" s="44" t="s">
        <v>6</v>
      </c>
      <c r="I2" s="63" t="s">
        <v>7</v>
      </c>
      <c r="J2" s="63" t="s">
        <v>8</v>
      </c>
      <c r="K2" s="63" t="s">
        <v>9</v>
      </c>
    </row>
    <row r="3" spans="1:11" x14ac:dyDescent="0.25">
      <c r="A3" t="s">
        <v>317</v>
      </c>
      <c r="B3" t="s">
        <v>25</v>
      </c>
      <c r="C3" t="s">
        <v>26</v>
      </c>
      <c r="D3" t="s">
        <v>32</v>
      </c>
      <c r="E3" t="s">
        <v>439</v>
      </c>
      <c r="F3" t="s">
        <v>210</v>
      </c>
    </row>
    <row r="4" spans="1:11" x14ac:dyDescent="0.25">
      <c r="A4" t="s">
        <v>318</v>
      </c>
      <c r="B4" t="s">
        <v>25</v>
      </c>
      <c r="C4" t="s">
        <v>26</v>
      </c>
      <c r="D4" t="s">
        <v>32</v>
      </c>
      <c r="E4" t="s">
        <v>439</v>
      </c>
      <c r="F4" t="s">
        <v>210</v>
      </c>
    </row>
    <row r="5" spans="1:11" x14ac:dyDescent="0.25">
      <c r="A5" t="s">
        <v>319</v>
      </c>
      <c r="B5" t="s">
        <v>25</v>
      </c>
      <c r="C5" t="s">
        <v>26</v>
      </c>
      <c r="D5" t="s">
        <v>32</v>
      </c>
      <c r="E5" t="s">
        <v>439</v>
      </c>
      <c r="F5" t="s">
        <v>210</v>
      </c>
    </row>
    <row r="6" spans="1:11" x14ac:dyDescent="0.25">
      <c r="A6" t="s">
        <v>320</v>
      </c>
      <c r="B6" t="s">
        <v>25</v>
      </c>
      <c r="C6" t="s">
        <v>26</v>
      </c>
      <c r="D6" t="s">
        <v>32</v>
      </c>
      <c r="E6" t="s">
        <v>439</v>
      </c>
      <c r="F6" t="s">
        <v>210</v>
      </c>
    </row>
    <row r="7" spans="1:11" x14ac:dyDescent="0.25">
      <c r="A7" t="s">
        <v>449</v>
      </c>
      <c r="B7" t="s">
        <v>391</v>
      </c>
      <c r="C7" t="s">
        <v>134</v>
      </c>
      <c r="D7" t="s">
        <v>427</v>
      </c>
      <c r="E7" t="s">
        <v>436</v>
      </c>
      <c r="F7" t="s">
        <v>448</v>
      </c>
      <c r="G7" t="s">
        <v>137</v>
      </c>
      <c r="H7" t="s">
        <v>118</v>
      </c>
      <c r="I7" s="132">
        <v>44138</v>
      </c>
      <c r="J7" s="132">
        <v>44138</v>
      </c>
    </row>
    <row r="8" spans="1:11" x14ac:dyDescent="0.25">
      <c r="A8" t="s">
        <v>451</v>
      </c>
      <c r="B8" t="s">
        <v>392</v>
      </c>
      <c r="C8" t="s">
        <v>134</v>
      </c>
      <c r="D8" t="s">
        <v>34</v>
      </c>
      <c r="E8" t="s">
        <v>132</v>
      </c>
      <c r="F8" t="s">
        <v>450</v>
      </c>
      <c r="G8" t="s">
        <v>137</v>
      </c>
      <c r="H8" t="s">
        <v>118</v>
      </c>
      <c r="I8" s="132">
        <v>44140</v>
      </c>
      <c r="J8" s="132">
        <v>44139</v>
      </c>
    </row>
    <row r="9" spans="1:11" x14ac:dyDescent="0.25">
      <c r="A9" t="s">
        <v>453</v>
      </c>
      <c r="B9" t="s">
        <v>393</v>
      </c>
      <c r="C9" t="s">
        <v>134</v>
      </c>
      <c r="D9" t="s">
        <v>428</v>
      </c>
      <c r="E9" t="s">
        <v>437</v>
      </c>
      <c r="F9" t="s">
        <v>452</v>
      </c>
      <c r="G9" t="s">
        <v>137</v>
      </c>
      <c r="H9" t="s">
        <v>118</v>
      </c>
      <c r="I9" s="132">
        <v>44141</v>
      </c>
      <c r="J9" s="132">
        <v>44137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ataValCheck">
                <anchor moveWithCells="1" sizeWithCells="1">
                  <from>
                    <xdr:col>11</xdr:col>
                    <xdr:colOff>161925</xdr:colOff>
                    <xdr:row>1</xdr:row>
                    <xdr:rowOff>95250</xdr:rowOff>
                  </from>
                  <to>
                    <xdr:col>13</xdr:col>
                    <xdr:colOff>200025</xdr:colOff>
                    <xdr:row>1</xdr:row>
                    <xdr:rowOff>523875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24"/>
  <sheetViews>
    <sheetView topLeftCell="A10" workbookViewId="0">
      <selection activeCell="D26" sqref="D26"/>
    </sheetView>
  </sheetViews>
  <sheetFormatPr defaultRowHeight="15" x14ac:dyDescent="0.25"/>
  <cols>
    <col min="1" max="1" width="3.7109375" customWidth="1"/>
    <col min="2" max="2" width="17.140625" customWidth="1"/>
    <col min="3" max="3" width="26.5703125" customWidth="1"/>
    <col min="4" max="4" width="19.7109375" customWidth="1"/>
    <col min="5" max="5" width="13.85546875" style="102" customWidth="1"/>
    <col min="6" max="6" width="58.85546875" customWidth="1"/>
  </cols>
  <sheetData>
    <row r="1" spans="1:6" x14ac:dyDescent="0.25">
      <c r="A1" s="25" t="s">
        <v>67</v>
      </c>
      <c r="C1" s="26" t="s">
        <v>77</v>
      </c>
    </row>
    <row r="2" spans="1:6" x14ac:dyDescent="0.25">
      <c r="A2" t="s">
        <v>68</v>
      </c>
      <c r="F2" s="101" t="s">
        <v>226</v>
      </c>
    </row>
    <row r="3" spans="1:6" x14ac:dyDescent="0.25">
      <c r="B3" t="s">
        <v>69</v>
      </c>
      <c r="F3" t="s">
        <v>227</v>
      </c>
    </row>
    <row r="4" spans="1:6" x14ac:dyDescent="0.25">
      <c r="B4" t="s">
        <v>70</v>
      </c>
      <c r="F4" t="s">
        <v>228</v>
      </c>
    </row>
    <row r="5" spans="1:6" x14ac:dyDescent="0.25">
      <c r="B5" t="s">
        <v>71</v>
      </c>
    </row>
    <row r="6" spans="1:6" x14ac:dyDescent="0.25">
      <c r="B6" t="s">
        <v>72</v>
      </c>
    </row>
    <row r="7" spans="1:6" x14ac:dyDescent="0.25">
      <c r="B7" t="s">
        <v>73</v>
      </c>
    </row>
    <row r="8" spans="1:6" x14ac:dyDescent="0.25">
      <c r="B8" t="s">
        <v>74</v>
      </c>
    </row>
    <row r="9" spans="1:6" x14ac:dyDescent="0.25">
      <c r="B9" t="s">
        <v>267</v>
      </c>
    </row>
    <row r="13" spans="1:6" x14ac:dyDescent="0.25">
      <c r="A13" s="25" t="s">
        <v>75</v>
      </c>
    </row>
    <row r="14" spans="1:6" x14ac:dyDescent="0.25">
      <c r="B14" t="s">
        <v>268</v>
      </c>
    </row>
    <row r="16" spans="1:6" x14ac:dyDescent="0.25">
      <c r="A16" s="5" t="s">
        <v>76</v>
      </c>
    </row>
    <row r="17" spans="2:7" x14ac:dyDescent="0.25">
      <c r="C17" s="26" t="s">
        <v>77</v>
      </c>
    </row>
    <row r="19" spans="2:7" x14ac:dyDescent="0.25">
      <c r="B19" s="27" t="s">
        <v>29</v>
      </c>
      <c r="C19" s="27" t="s">
        <v>30</v>
      </c>
      <c r="D19" s="27" t="s">
        <v>78</v>
      </c>
    </row>
    <row r="20" spans="2:7" x14ac:dyDescent="0.25">
      <c r="B20" t="s">
        <v>79</v>
      </c>
      <c r="C20" s="28" t="s">
        <v>89</v>
      </c>
      <c r="D20" t="s">
        <v>99</v>
      </c>
    </row>
    <row r="21" spans="2:7" x14ac:dyDescent="0.25">
      <c r="B21" t="s">
        <v>80</v>
      </c>
      <c r="C21" s="28" t="s">
        <v>90</v>
      </c>
      <c r="D21" t="s">
        <v>99</v>
      </c>
    </row>
    <row r="22" spans="2:7" x14ac:dyDescent="0.25">
      <c r="B22" t="s">
        <v>81</v>
      </c>
      <c r="C22" s="28" t="s">
        <v>91</v>
      </c>
      <c r="D22" t="s">
        <v>99</v>
      </c>
    </row>
    <row r="23" spans="2:7" x14ac:dyDescent="0.25">
      <c r="B23" t="s">
        <v>82</v>
      </c>
      <c r="C23" s="28" t="s">
        <v>92</v>
      </c>
      <c r="D23" t="s">
        <v>99</v>
      </c>
    </row>
    <row r="24" spans="2:7" x14ac:dyDescent="0.25">
      <c r="B24" t="s">
        <v>83</v>
      </c>
      <c r="C24" s="28" t="s">
        <v>93</v>
      </c>
      <c r="D24" t="s">
        <v>99</v>
      </c>
    </row>
    <row r="25" spans="2:7" x14ac:dyDescent="0.25">
      <c r="B25" t="s">
        <v>84</v>
      </c>
      <c r="C25" s="28" t="s">
        <v>94</v>
      </c>
      <c r="D25" t="s">
        <v>99</v>
      </c>
    </row>
    <row r="26" spans="2:7" x14ac:dyDescent="0.25">
      <c r="B26" t="s">
        <v>85</v>
      </c>
      <c r="C26" s="28" t="s">
        <v>95</v>
      </c>
      <c r="D26" t="s">
        <v>99</v>
      </c>
    </row>
    <row r="27" spans="2:7" x14ac:dyDescent="0.25">
      <c r="B27" t="s">
        <v>86</v>
      </c>
      <c r="C27" s="28" t="s">
        <v>96</v>
      </c>
      <c r="D27" t="s">
        <v>100</v>
      </c>
      <c r="F27" s="5" t="s">
        <v>229</v>
      </c>
      <c r="G27" t="s">
        <v>230</v>
      </c>
    </row>
    <row r="28" spans="2:7" ht="60" x14ac:dyDescent="0.25">
      <c r="B28" t="s">
        <v>87</v>
      </c>
      <c r="C28" s="28" t="s">
        <v>97</v>
      </c>
      <c r="D28" t="s">
        <v>100</v>
      </c>
      <c r="E28" s="103" t="s">
        <v>231</v>
      </c>
      <c r="F28" s="104" t="s">
        <v>269</v>
      </c>
    </row>
    <row r="29" spans="2:7" x14ac:dyDescent="0.25">
      <c r="B29" t="s">
        <v>88</v>
      </c>
      <c r="C29" s="28" t="s">
        <v>98</v>
      </c>
      <c r="D29" t="s">
        <v>100</v>
      </c>
      <c r="E29" s="103" t="s">
        <v>240</v>
      </c>
      <c r="F29" s="105" t="s">
        <v>232</v>
      </c>
      <c r="G29" t="s">
        <v>249</v>
      </c>
    </row>
    <row r="30" spans="2:7" x14ac:dyDescent="0.25">
      <c r="E30" s="103" t="s">
        <v>241</v>
      </c>
      <c r="F30" s="104" t="s">
        <v>233</v>
      </c>
      <c r="G30" t="s">
        <v>250</v>
      </c>
    </row>
    <row r="31" spans="2:7" x14ac:dyDescent="0.25">
      <c r="E31" s="103" t="s">
        <v>242</v>
      </c>
      <c r="F31" s="105" t="s">
        <v>234</v>
      </c>
      <c r="G31" t="s">
        <v>251</v>
      </c>
    </row>
    <row r="32" spans="2:7" x14ac:dyDescent="0.25">
      <c r="E32" s="103" t="s">
        <v>243</v>
      </c>
      <c r="F32" s="104" t="s">
        <v>235</v>
      </c>
      <c r="G32" t="s">
        <v>252</v>
      </c>
    </row>
    <row r="33" spans="5:7" x14ac:dyDescent="0.25">
      <c r="E33" s="103" t="s">
        <v>244</v>
      </c>
      <c r="F33" s="105" t="s">
        <v>236</v>
      </c>
      <c r="G33" t="s">
        <v>253</v>
      </c>
    </row>
    <row r="34" spans="5:7" x14ac:dyDescent="0.25">
      <c r="E34" s="103" t="s">
        <v>245</v>
      </c>
      <c r="F34" s="104" t="s">
        <v>237</v>
      </c>
      <c r="G34" t="s">
        <v>254</v>
      </c>
    </row>
    <row r="35" spans="5:7" x14ac:dyDescent="0.25">
      <c r="E35" s="103" t="s">
        <v>246</v>
      </c>
      <c r="F35" s="105" t="s">
        <v>238</v>
      </c>
      <c r="G35" t="s">
        <v>255</v>
      </c>
    </row>
    <row r="36" spans="5:7" x14ac:dyDescent="0.25">
      <c r="E36" s="103" t="s">
        <v>247</v>
      </c>
      <c r="F36" s="104" t="s">
        <v>270</v>
      </c>
      <c r="G36" t="s">
        <v>256</v>
      </c>
    </row>
    <row r="37" spans="5:7" ht="72.400000000000006" customHeight="1" x14ac:dyDescent="0.25">
      <c r="E37" s="103" t="s">
        <v>248</v>
      </c>
      <c r="F37" s="107" t="s">
        <v>239</v>
      </c>
    </row>
    <row r="46" spans="5:7" x14ac:dyDescent="0.25">
      <c r="F46" s="5" t="s">
        <v>261</v>
      </c>
    </row>
    <row r="47" spans="5:7" ht="60" x14ac:dyDescent="0.25">
      <c r="E47" s="103" t="s">
        <v>231</v>
      </c>
      <c r="F47" s="104" t="s">
        <v>271</v>
      </c>
    </row>
    <row r="48" spans="5:7" x14ac:dyDescent="0.25">
      <c r="E48" s="103" t="s">
        <v>240</v>
      </c>
      <c r="F48" s="105" t="s">
        <v>232</v>
      </c>
      <c r="G48" t="s">
        <v>249</v>
      </c>
    </row>
    <row r="49" spans="5:7" x14ac:dyDescent="0.25">
      <c r="E49" s="103" t="s">
        <v>241</v>
      </c>
      <c r="F49" s="104" t="s">
        <v>233</v>
      </c>
      <c r="G49" t="s">
        <v>250</v>
      </c>
    </row>
    <row r="50" spans="5:7" x14ac:dyDescent="0.25">
      <c r="E50" s="103" t="s">
        <v>242</v>
      </c>
      <c r="F50" s="105" t="s">
        <v>234</v>
      </c>
      <c r="G50" t="s">
        <v>251</v>
      </c>
    </row>
    <row r="51" spans="5:7" x14ac:dyDescent="0.25">
      <c r="E51" s="103" t="s">
        <v>243</v>
      </c>
      <c r="F51" s="104" t="s">
        <v>235</v>
      </c>
      <c r="G51" t="s">
        <v>252</v>
      </c>
    </row>
    <row r="52" spans="5:7" x14ac:dyDescent="0.25">
      <c r="E52" s="103" t="s">
        <v>244</v>
      </c>
      <c r="F52" s="105" t="s">
        <v>236</v>
      </c>
      <c r="G52" t="s">
        <v>253</v>
      </c>
    </row>
    <row r="53" spans="5:7" x14ac:dyDescent="0.25">
      <c r="E53" s="103" t="s">
        <v>245</v>
      </c>
      <c r="F53" s="104" t="s">
        <v>237</v>
      </c>
      <c r="G53" t="s">
        <v>254</v>
      </c>
    </row>
    <row r="54" spans="5:7" ht="60" x14ac:dyDescent="0.25">
      <c r="E54" s="103" t="s">
        <v>246</v>
      </c>
      <c r="F54" s="107" t="s">
        <v>260</v>
      </c>
    </row>
    <row r="63" spans="5:7" x14ac:dyDescent="0.25">
      <c r="F63" s="5" t="s">
        <v>262</v>
      </c>
    </row>
    <row r="64" spans="5:7" ht="120" x14ac:dyDescent="0.25">
      <c r="E64" s="103" t="s">
        <v>231</v>
      </c>
      <c r="F64" s="104" t="s">
        <v>272</v>
      </c>
    </row>
    <row r="65" spans="5:7" x14ac:dyDescent="0.25">
      <c r="E65" s="103" t="s">
        <v>240</v>
      </c>
      <c r="F65" s="105" t="s">
        <v>232</v>
      </c>
      <c r="G65" t="s">
        <v>249</v>
      </c>
    </row>
    <row r="66" spans="5:7" x14ac:dyDescent="0.25">
      <c r="E66" s="103" t="s">
        <v>241</v>
      </c>
      <c r="F66" s="104" t="s">
        <v>233</v>
      </c>
      <c r="G66" t="s">
        <v>250</v>
      </c>
    </row>
    <row r="67" spans="5:7" x14ac:dyDescent="0.25">
      <c r="E67" s="103" t="s">
        <v>242</v>
      </c>
      <c r="F67" s="105" t="s">
        <v>234</v>
      </c>
      <c r="G67" t="s">
        <v>251</v>
      </c>
    </row>
    <row r="68" spans="5:7" x14ac:dyDescent="0.25">
      <c r="E68" s="103" t="s">
        <v>243</v>
      </c>
      <c r="F68" s="104" t="s">
        <v>235</v>
      </c>
      <c r="G68" t="s">
        <v>252</v>
      </c>
    </row>
    <row r="69" spans="5:7" x14ac:dyDescent="0.25">
      <c r="E69" s="103" t="s">
        <v>244</v>
      </c>
      <c r="F69" s="105" t="s">
        <v>236</v>
      </c>
      <c r="G69" t="s">
        <v>253</v>
      </c>
    </row>
    <row r="70" spans="5:7" x14ac:dyDescent="0.25">
      <c r="E70" s="103" t="s">
        <v>245</v>
      </c>
      <c r="F70" s="104" t="s">
        <v>237</v>
      </c>
      <c r="G70" t="s">
        <v>254</v>
      </c>
    </row>
    <row r="71" spans="5:7" x14ac:dyDescent="0.25">
      <c r="E71" s="103" t="s">
        <v>246</v>
      </c>
      <c r="F71" s="106" t="s">
        <v>257</v>
      </c>
      <c r="G71" t="s">
        <v>258</v>
      </c>
    </row>
    <row r="72" spans="5:7" ht="60" x14ac:dyDescent="0.25">
      <c r="E72" s="103" t="s">
        <v>247</v>
      </c>
      <c r="F72" s="108" t="s">
        <v>260</v>
      </c>
    </row>
    <row r="81" spans="5:7" x14ac:dyDescent="0.25">
      <c r="F81" s="5" t="s">
        <v>263</v>
      </c>
    </row>
    <row r="82" spans="5:7" ht="105" x14ac:dyDescent="0.25">
      <c r="E82" s="103" t="s">
        <v>231</v>
      </c>
      <c r="F82" s="104" t="s">
        <v>273</v>
      </c>
    </row>
    <row r="83" spans="5:7" x14ac:dyDescent="0.25">
      <c r="E83" s="103" t="s">
        <v>240</v>
      </c>
      <c r="F83" s="105" t="s">
        <v>232</v>
      </c>
      <c r="G83" t="s">
        <v>249</v>
      </c>
    </row>
    <row r="84" spans="5:7" x14ac:dyDescent="0.25">
      <c r="E84" s="103" t="s">
        <v>241</v>
      </c>
      <c r="F84" s="104" t="s">
        <v>233</v>
      </c>
      <c r="G84" t="s">
        <v>250</v>
      </c>
    </row>
    <row r="85" spans="5:7" x14ac:dyDescent="0.25">
      <c r="E85" s="103" t="s">
        <v>242</v>
      </c>
      <c r="F85" s="105" t="s">
        <v>234</v>
      </c>
      <c r="G85" t="s">
        <v>251</v>
      </c>
    </row>
    <row r="86" spans="5:7" x14ac:dyDescent="0.25">
      <c r="E86" s="103" t="s">
        <v>243</v>
      </c>
      <c r="F86" s="104" t="s">
        <v>235</v>
      </c>
      <c r="G86" t="s">
        <v>252</v>
      </c>
    </row>
    <row r="87" spans="5:7" x14ac:dyDescent="0.25">
      <c r="E87" s="103" t="s">
        <v>244</v>
      </c>
      <c r="F87" s="105" t="s">
        <v>236</v>
      </c>
      <c r="G87" t="s">
        <v>253</v>
      </c>
    </row>
    <row r="88" spans="5:7" x14ac:dyDescent="0.25">
      <c r="E88" s="103" t="s">
        <v>245</v>
      </c>
      <c r="F88" s="104" t="s">
        <v>237</v>
      </c>
      <c r="G88" t="s">
        <v>254</v>
      </c>
    </row>
    <row r="89" spans="5:7" ht="60" x14ac:dyDescent="0.25">
      <c r="E89" s="103" t="s">
        <v>246</v>
      </c>
      <c r="F89" s="107" t="s">
        <v>260</v>
      </c>
    </row>
    <row r="98" spans="5:7" x14ac:dyDescent="0.25">
      <c r="F98" s="5" t="s">
        <v>264</v>
      </c>
    </row>
    <row r="99" spans="5:7" ht="120" x14ac:dyDescent="0.25">
      <c r="E99" s="103" t="s">
        <v>231</v>
      </c>
      <c r="F99" s="104" t="s">
        <v>274</v>
      </c>
    </row>
    <row r="100" spans="5:7" x14ac:dyDescent="0.25">
      <c r="E100" s="103" t="s">
        <v>240</v>
      </c>
      <c r="F100" s="105" t="s">
        <v>232</v>
      </c>
      <c r="G100" t="s">
        <v>249</v>
      </c>
    </row>
    <row r="101" spans="5:7" x14ac:dyDescent="0.25">
      <c r="E101" s="103" t="s">
        <v>241</v>
      </c>
      <c r="F101" s="104" t="s">
        <v>233</v>
      </c>
      <c r="G101" t="s">
        <v>250</v>
      </c>
    </row>
    <row r="102" spans="5:7" x14ac:dyDescent="0.25">
      <c r="E102" s="103" t="s">
        <v>242</v>
      </c>
      <c r="F102" s="105" t="s">
        <v>234</v>
      </c>
      <c r="G102" t="s">
        <v>251</v>
      </c>
    </row>
    <row r="103" spans="5:7" x14ac:dyDescent="0.25">
      <c r="E103" s="103" t="s">
        <v>243</v>
      </c>
      <c r="F103" s="104" t="s">
        <v>235</v>
      </c>
      <c r="G103" t="s">
        <v>252</v>
      </c>
    </row>
    <row r="104" spans="5:7" x14ac:dyDescent="0.25">
      <c r="E104" s="103" t="s">
        <v>244</v>
      </c>
      <c r="F104" s="105" t="s">
        <v>236</v>
      </c>
      <c r="G104" t="s">
        <v>253</v>
      </c>
    </row>
    <row r="105" spans="5:7" x14ac:dyDescent="0.25">
      <c r="E105" s="103" t="s">
        <v>245</v>
      </c>
      <c r="F105" s="104" t="s">
        <v>237</v>
      </c>
      <c r="G105" t="s">
        <v>254</v>
      </c>
    </row>
    <row r="106" spans="5:7" x14ac:dyDescent="0.25">
      <c r="E106" s="103" t="s">
        <v>246</v>
      </c>
      <c r="F106" s="106" t="s">
        <v>257</v>
      </c>
      <c r="G106" t="s">
        <v>258</v>
      </c>
    </row>
    <row r="107" spans="5:7" ht="60" x14ac:dyDescent="0.25">
      <c r="E107" s="103" t="s">
        <v>247</v>
      </c>
      <c r="F107" s="108" t="s">
        <v>260</v>
      </c>
    </row>
    <row r="116" spans="5:7" x14ac:dyDescent="0.25">
      <c r="F116" s="5" t="s">
        <v>265</v>
      </c>
    </row>
    <row r="117" spans="5:7" ht="45" x14ac:dyDescent="0.25">
      <c r="E117" s="103" t="s">
        <v>231</v>
      </c>
      <c r="F117" s="104" t="s">
        <v>259</v>
      </c>
    </row>
    <row r="118" spans="5:7" x14ac:dyDescent="0.25">
      <c r="E118" s="103" t="s">
        <v>240</v>
      </c>
      <c r="F118" s="105" t="s">
        <v>232</v>
      </c>
      <c r="G118" t="s">
        <v>249</v>
      </c>
    </row>
    <row r="119" spans="5:7" x14ac:dyDescent="0.25">
      <c r="E119" s="103" t="s">
        <v>241</v>
      </c>
      <c r="F119" s="104" t="s">
        <v>233</v>
      </c>
      <c r="G119" t="s">
        <v>250</v>
      </c>
    </row>
    <row r="120" spans="5:7" x14ac:dyDescent="0.25">
      <c r="E120" s="103" t="s">
        <v>242</v>
      </c>
      <c r="F120" s="105" t="s">
        <v>234</v>
      </c>
      <c r="G120" t="s">
        <v>251</v>
      </c>
    </row>
    <row r="121" spans="5:7" x14ac:dyDescent="0.25">
      <c r="E121" s="103" t="s">
        <v>243</v>
      </c>
      <c r="F121" s="104" t="s">
        <v>235</v>
      </c>
      <c r="G121" t="s">
        <v>252</v>
      </c>
    </row>
    <row r="122" spans="5:7" x14ac:dyDescent="0.25">
      <c r="E122" s="103" t="s">
        <v>244</v>
      </c>
      <c r="F122" s="105" t="s">
        <v>236</v>
      </c>
      <c r="G122" t="s">
        <v>253</v>
      </c>
    </row>
    <row r="123" spans="5:7" x14ac:dyDescent="0.25">
      <c r="E123" s="103" t="s">
        <v>245</v>
      </c>
      <c r="F123" s="104" t="s">
        <v>237</v>
      </c>
      <c r="G123" t="s">
        <v>254</v>
      </c>
    </row>
    <row r="124" spans="5:7" ht="60" x14ac:dyDescent="0.25">
      <c r="E124" s="103" t="s">
        <v>246</v>
      </c>
      <c r="F124" s="107" t="s">
        <v>260</v>
      </c>
    </row>
  </sheetData>
  <phoneticPr fontId="5" type="noConversion"/>
  <hyperlinks>
    <hyperlink ref="C20" r:id="rId1"/>
    <hyperlink ref="C21" r:id="rId2"/>
    <hyperlink ref="C22" r:id="rId3"/>
    <hyperlink ref="C23" r:id="rId4"/>
    <hyperlink ref="C24" r:id="rId5"/>
    <hyperlink ref="C25" r:id="rId6"/>
    <hyperlink ref="C26" r:id="rId7"/>
    <hyperlink ref="C27" r:id="rId8"/>
    <hyperlink ref="C28" r:id="rId9"/>
    <hyperlink ref="C29" r:id="rId10"/>
  </hyperlinks>
  <pageMargins left="0.7" right="0.7" top="0.75" bottom="0.75" header="0.3" footer="0.3"/>
  <pageSetup orientation="portrait" r:id="rId11"/>
  <tableParts count="2">
    <tablePart r:id="rId12"/>
    <tablePart r:id="rId1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W100"/>
  <sheetViews>
    <sheetView workbookViewId="0">
      <selection activeCell="K20" sqref="K20"/>
    </sheetView>
  </sheetViews>
  <sheetFormatPr defaultRowHeight="15" x14ac:dyDescent="0.25"/>
  <cols>
    <col min="3" max="3" width="12.7109375" customWidth="1"/>
    <col min="4" max="4" width="11.28515625" customWidth="1"/>
    <col min="5" max="5" width="12.85546875" customWidth="1"/>
    <col min="6" max="6" width="13.140625" customWidth="1"/>
    <col min="7" max="7" width="19.5703125" customWidth="1"/>
    <col min="8" max="8" width="6.85546875" style="1" customWidth="1"/>
    <col min="9" max="9" width="10.28515625" style="1" customWidth="1"/>
    <col min="10" max="10" width="15.7109375" style="1" customWidth="1"/>
    <col min="11" max="11" width="49.5703125" bestFit="1" customWidth="1"/>
    <col min="12" max="12" width="2.7109375" customWidth="1"/>
    <col min="13" max="13" width="7.85546875" customWidth="1"/>
    <col min="15" max="15" width="11.7109375" customWidth="1"/>
    <col min="16" max="16" width="2.7109375" style="31" customWidth="1"/>
    <col min="17" max="17" width="15.85546875" style="1" bestFit="1" customWidth="1"/>
    <col min="18" max="18" width="2.7109375" style="1" customWidth="1"/>
    <col min="19" max="20" width="9.28515625" style="1"/>
    <col min="21" max="21" width="2.7109375" style="1" customWidth="1"/>
    <col min="22" max="23" width="9.28515625" style="1"/>
  </cols>
  <sheetData>
    <row r="1" spans="1:23" ht="45" x14ac:dyDescent="0.25">
      <c r="A1" s="32" t="s">
        <v>0</v>
      </c>
      <c r="B1" s="32" t="s">
        <v>1</v>
      </c>
      <c r="C1" s="32" t="s">
        <v>105</v>
      </c>
      <c r="D1" s="32" t="s">
        <v>106</v>
      </c>
      <c r="E1" s="32" t="s">
        <v>12</v>
      </c>
      <c r="F1" s="32" t="s">
        <v>107</v>
      </c>
      <c r="G1" s="33" t="s">
        <v>108</v>
      </c>
      <c r="H1" s="33" t="s">
        <v>0</v>
      </c>
      <c r="I1" s="33" t="s">
        <v>1</v>
      </c>
      <c r="J1" s="33" t="s">
        <v>109</v>
      </c>
      <c r="K1" s="33" t="s">
        <v>110</v>
      </c>
      <c r="L1" s="34"/>
      <c r="M1" s="35" t="s">
        <v>111</v>
      </c>
      <c r="N1" s="35" t="s">
        <v>112</v>
      </c>
      <c r="O1" s="35" t="s">
        <v>113</v>
      </c>
      <c r="P1" s="36"/>
      <c r="Q1" s="32" t="s">
        <v>5</v>
      </c>
      <c r="R1" s="34"/>
      <c r="S1" s="32" t="s">
        <v>114</v>
      </c>
      <c r="T1" s="32" t="s">
        <v>115</v>
      </c>
      <c r="U1" s="34"/>
      <c r="V1" s="37" t="s">
        <v>116</v>
      </c>
      <c r="W1" s="37" t="s">
        <v>117</v>
      </c>
    </row>
    <row r="2" spans="1:23" x14ac:dyDescent="0.25">
      <c r="A2" s="38"/>
      <c r="B2" s="38"/>
      <c r="C2" s="38"/>
      <c r="D2" s="38"/>
      <c r="E2" s="38"/>
      <c r="F2" s="38"/>
      <c r="G2" s="39" t="str">
        <f>IF(OR(Table4[[#This Row],[KTR]]="", Table4[[#This Row],[CLIN]]="", Table4[[#This Row],[CDRL No (BLK 1)]]="")=TRUE,"",Table4[[#This Row],[KTR]]&amp;"|"&amp;Table4[[#This Row],[CLIN]]&amp;"|"&amp;Table4[[#This Row],[CDRL No (BLK 1)]])</f>
        <v>TO3|CLN-0001|A-001</v>
      </c>
      <c r="H2" s="1" t="s">
        <v>391</v>
      </c>
      <c r="I2" s="1" t="s">
        <v>134</v>
      </c>
      <c r="J2" s="1" t="s">
        <v>27</v>
      </c>
      <c r="K2" t="s">
        <v>130</v>
      </c>
      <c r="M2" s="43" t="str">
        <f t="array" ref="M2">IFERROR(INDEX(Table4[KTR], MATCH(SMALL(IF(COUNTIF($M$1:M1,Table4[KTR])
=0, COUNTIF(Table4[KTR], "&lt;" &amp; Table4[KTR]), ""), 1), COUNTIF(Table4[KTR],
"&lt;" &amp; Table4[KTR]), 0)),"")</f>
        <v>TO3</v>
      </c>
      <c r="N2" s="43" t="str">
        <f t="array" ref="N2">IFERROR(INDEX(Table4[CLIN], MATCH(SMALL(IF(COUNTIF($N$1:N1,Table4[CLIN])
=0, COUNTIF(Table4[CLIN], "&lt;" &amp; Table4[CLIN]), ""), 1), COUNTIF(Table4[CLIN],
"&lt;" &amp; Table4[CLIN]), 0)),"")</f>
        <v>CLN-0001</v>
      </c>
      <c r="O2" s="43" t="str">
        <f t="array" ref="O2">IFERROR(INDEX(Table4[CDRL No (BLK 1)], MATCH(SMALL(IF(COUNTIF($O$1:O1,Table4[CDRL No (BLK 1)])
=0, COUNTIF(Table4[CDRL No (BLK 1)], "&lt;" &amp; Table4[CDRL No (BLK 1)]), ""), 1), COUNTIF(Table4[CDRL No (BLK 1)],
"&lt;" &amp; Table4[CDRL No (BLK 1)]), 0)),"")</f>
        <v>A-001</v>
      </c>
      <c r="Q2" s="43" t="s">
        <v>136</v>
      </c>
      <c r="S2" s="43" t="s">
        <v>101</v>
      </c>
      <c r="T2" s="43" t="s">
        <v>102</v>
      </c>
      <c r="V2" s="43" t="str">
        <f t="array" ref="V2">IFERROR(INDEX(Table2[KTR], MATCH(SMALL(IF(COUNTIF($V$1:V1,Table2[KTR])
=0, COUNTIF(Table2[KTR], "&lt;" &amp; Table2[KTR]), ""), 1), COUNTIF(Table2[KTR],
"&lt;" &amp; Table2[KTR]), 0)),"")</f>
        <v>A</v>
      </c>
      <c r="W2" s="43" t="str">
        <f t="array" ref="W2">IFERROR(INDEX(Table2[CLIN], MATCH(SMALL(IF(COUNTIF($W$1:W1,Table2[CLIN])
=0, COUNTIF(Table2[CLIN], "&lt;" &amp; Table2[CLIN]), ""), 1), COUNTIF(Table2[CLIN],
"&lt;" &amp; Table2[CLIN]), 0)),"")</f>
        <v>CLN-0001</v>
      </c>
    </row>
    <row r="3" spans="1:23" x14ac:dyDescent="0.25">
      <c r="A3" s="39" t="s">
        <v>25</v>
      </c>
      <c r="B3" s="40">
        <v>1</v>
      </c>
      <c r="C3" s="39" t="s">
        <v>118</v>
      </c>
      <c r="D3" s="39" t="s">
        <v>123</v>
      </c>
      <c r="E3" s="39" t="s">
        <v>125</v>
      </c>
      <c r="F3" s="39" t="s">
        <v>125</v>
      </c>
      <c r="G3" s="39" t="str">
        <f>IF(OR(Table4[[#This Row],[KTR]]="", Table4[[#This Row],[CLIN]]="", Table4[[#This Row],[CDRL No (BLK 1)]]="")=TRUE,"",Table4[[#This Row],[KTR]]&amp;"|"&amp;Table4[[#This Row],[CLIN]]&amp;"|"&amp;Table4[[#This Row],[CDRL No (BLK 1)]])</f>
        <v>TO4|CLN-0001|A-001</v>
      </c>
      <c r="H3" s="1" t="s">
        <v>392</v>
      </c>
      <c r="I3" s="1" t="s">
        <v>134</v>
      </c>
      <c r="J3" s="1" t="s">
        <v>27</v>
      </c>
      <c r="K3" t="s">
        <v>130</v>
      </c>
      <c r="M3" s="43" t="str">
        <f t="array" ref="M3">IFERROR(INDEX(Table4[KTR], MATCH(SMALL(IF(COUNTIF($M$1:M2,Table4[KTR])
=0, COUNTIF(Table4[KTR], "&lt;" &amp; Table4[KTR]), ""), 1), COUNTIF(Table4[KTR],
"&lt;" &amp; Table4[KTR]), 0)),"")</f>
        <v>TO4</v>
      </c>
      <c r="N3" s="43" t="str">
        <f t="array" ref="N3">IFERROR(INDEX(Table4[CLIN], MATCH(SMALL(IF(COUNTIF($N$1:N2,Table4[CLIN])
=0, COUNTIF(Table4[CLIN], "&lt;" &amp; Table4[CLIN]), ""), 1), COUNTIF(Table4[CLIN],
"&lt;" &amp; Table4[CLIN]), 0)),"")</f>
        <v/>
      </c>
      <c r="O3" s="43" t="str">
        <f t="array" ref="O3">IFERROR(INDEX(Table4[CDRL No (BLK 1)], MATCH(SMALL(IF(COUNTIF($O$1:O2,Table4[CDRL No (BLK 1)])
=0, COUNTIF(Table4[CDRL No (BLK 1)], "&lt;" &amp; Table4[CDRL No (BLK 1)]), ""), 1), COUNTIF(Table4[CDRL No (BLK 1)],
"&lt;" &amp; Table4[CDRL No (BLK 1)]), 0)),"")</f>
        <v>A-003</v>
      </c>
      <c r="Q3" s="43" t="s">
        <v>193</v>
      </c>
      <c r="S3" s="43" t="str">
        <f>V2</f>
        <v>A</v>
      </c>
      <c r="T3" s="43" t="str">
        <f>W2</f>
        <v>CLN-0001</v>
      </c>
      <c r="V3" s="43" t="str">
        <f t="array" ref="V3">IFERROR(INDEX(Table2[KTR], MATCH(SMALL(IF(COUNTIF($V$1:V2,Table2[KTR])
=0, COUNTIF(Table2[KTR], "&lt;" &amp; Table2[KTR]), ""), 1), COUNTIF(Table2[KTR],
"&lt;" &amp; Table2[KTR]), 0)),"")</f>
        <v>B</v>
      </c>
      <c r="W3" s="43" t="str">
        <f t="array" ref="W3">IFERROR(INDEX(Table2[CLIN], MATCH(SMALL(IF(COUNTIF($W$1:W2,Table2[CLIN])
=0, COUNTIF(Table2[CLIN], "&lt;" &amp; Table2[CLIN]), ""), 1), COUNTIF(Table2[CLIN],
"&lt;" &amp; Table2[CLIN]), 0)),"")</f>
        <v>CLN-0002</v>
      </c>
    </row>
    <row r="4" spans="1:23" x14ac:dyDescent="0.25">
      <c r="A4" s="39" t="s">
        <v>100</v>
      </c>
      <c r="B4" s="40">
        <v>2</v>
      </c>
      <c r="C4" s="39" t="s">
        <v>119</v>
      </c>
      <c r="D4" s="39" t="s">
        <v>124</v>
      </c>
      <c r="E4" s="39" t="s">
        <v>126</v>
      </c>
      <c r="F4" s="39" t="s">
        <v>309</v>
      </c>
      <c r="G4" s="39" t="str">
        <f>IF(OR(Table4[[#This Row],[KTR]]="", Table4[[#This Row],[CLIN]]="", Table4[[#This Row],[CDRL No (BLK 1)]]="")=TRUE,"",Table4[[#This Row],[KTR]]&amp;"|"&amp;Table4[[#This Row],[CLIN]]&amp;"|"&amp;Table4[[#This Row],[CDRL No (BLK 1)]])</f>
        <v>TO5|CLN-0001|A-001</v>
      </c>
      <c r="H4" s="1" t="s">
        <v>393</v>
      </c>
      <c r="I4" s="1" t="s">
        <v>134</v>
      </c>
      <c r="J4" s="1" t="s">
        <v>27</v>
      </c>
      <c r="K4" t="s">
        <v>130</v>
      </c>
      <c r="M4" s="43" t="str">
        <f t="array" ref="M4">IFERROR(INDEX(Table4[KTR], MATCH(SMALL(IF(COUNTIF($M$1:M3,Table4[KTR])
=0, COUNTIF(Table4[KTR], "&lt;" &amp; Table4[KTR]), ""), 1), COUNTIF(Table4[KTR],
"&lt;" &amp; Table4[KTR]), 0)),"")</f>
        <v>TO5</v>
      </c>
      <c r="N4" s="43" t="str">
        <f t="array" ref="N4">IFERROR(INDEX(Table4[CLIN], MATCH(SMALL(IF(COUNTIF($N$1:N3,Table4[CLIN])
=0, COUNTIF(Table4[CLIN], "&lt;" &amp; Table4[CLIN]), ""), 1), COUNTIF(Table4[CLIN],
"&lt;" &amp; Table4[CLIN]), 0)),"")</f>
        <v/>
      </c>
      <c r="O4" s="43" t="str">
        <f t="array" ref="O4">IFERROR(INDEX(Table4[CDRL No (BLK 1)], MATCH(SMALL(IF(COUNTIF($O$1:O3,Table4[CDRL No (BLK 1)])
=0, COUNTIF(Table4[CDRL No (BLK 1)], "&lt;" &amp; Table4[CDRL No (BLK 1)]), ""), 1), COUNTIF(Table4[CDRL No (BLK 1)],
"&lt;" &amp; Table4[CDRL No (BLK 1)]), 0)),"")</f>
        <v>A-005</v>
      </c>
      <c r="Q4" s="43" t="s">
        <v>137</v>
      </c>
      <c r="S4" s="43" t="str">
        <f t="shared" ref="S4:S15" si="0">V3</f>
        <v>B</v>
      </c>
      <c r="T4" s="43" t="str">
        <f t="shared" ref="T4:T15" si="1">W3</f>
        <v>CLN-0002</v>
      </c>
      <c r="V4" s="43" t="str">
        <f t="array" ref="V4">IFERROR(INDEX(Table2[KTR], MATCH(SMALL(IF(COUNTIF($V$1:V3,Table2[KTR])
=0, COUNTIF(Table2[KTR], "&lt;" &amp; Table2[KTR]), ""), 1), COUNTIF(Table2[KTR],
"&lt;" &amp; Table2[KTR]), 0)),"")</f>
        <v>L</v>
      </c>
      <c r="W4" s="43" t="str">
        <f t="array" ref="W4">IFERROR(INDEX(Table2[CLIN], MATCH(SMALL(IF(COUNTIF($W$1:W3,Table2[CLIN])
=0, COUNTIF(Table2[CLIN], "&lt;" &amp; Table2[CLIN]), ""), 1), COUNTIF(Table2[CLIN],
"&lt;" &amp; Table2[CLIN]), 0)),"")</f>
        <v/>
      </c>
    </row>
    <row r="5" spans="1:23" x14ac:dyDescent="0.25">
      <c r="A5" s="1"/>
      <c r="B5" s="40">
        <v>3</v>
      </c>
      <c r="C5" s="39" t="s">
        <v>120</v>
      </c>
      <c r="D5" s="1"/>
      <c r="E5" s="39" t="s">
        <v>127</v>
      </c>
      <c r="F5" s="39" t="s">
        <v>310</v>
      </c>
      <c r="G5" s="39" t="str">
        <f>IF(OR(Table4[[#This Row],[KTR]]="", Table4[[#This Row],[CLIN]]="", Table4[[#This Row],[CDRL No (BLK 1)]]="")=TRUE,"",Table4[[#This Row],[KTR]]&amp;"|"&amp;Table4[[#This Row],[CLIN]]&amp;"|"&amp;Table4[[#This Row],[CDRL No (BLK 1)]])</f>
        <v>TO3|CLN-0001|A-003</v>
      </c>
      <c r="H5" s="1" t="s">
        <v>391</v>
      </c>
      <c r="I5" s="1" t="s">
        <v>134</v>
      </c>
      <c r="J5" s="1" t="s">
        <v>380</v>
      </c>
      <c r="K5" t="s">
        <v>133</v>
      </c>
      <c r="M5" s="43" t="str">
        <f t="array" ref="M5">IFERROR(INDEX(Table4[KTR], MATCH(SMALL(IF(COUNTIF($M$1:M4,Table4[KTR])
=0, COUNTIF(Table4[KTR], "&lt;" &amp; Table4[KTR]), ""), 1), COUNTIF(Table4[KTR],
"&lt;" &amp; Table4[KTR]), 0)),"")</f>
        <v/>
      </c>
      <c r="N5" s="43" t="str">
        <f t="array" ref="N5">IFERROR(INDEX(Table4[CLIN], MATCH(SMALL(IF(COUNTIF($N$1:N4,Table4[CLIN])
=0, COUNTIF(Table4[CLIN], "&lt;" &amp; Table4[CLIN]), ""), 1), COUNTIF(Table4[CLIN],
"&lt;" &amp; Table4[CLIN]), 0)),"")</f>
        <v/>
      </c>
      <c r="O5" s="43" t="str">
        <f t="array" ref="O5">IFERROR(INDEX(Table4[CDRL No (BLK 1)], MATCH(SMALL(IF(COUNTIF($O$1:O4,Table4[CDRL No (BLK 1)])
=0, COUNTIF(Table4[CDRL No (BLK 1)], "&lt;" &amp; Table4[CDRL No (BLK 1)]), ""), 1), COUNTIF(Table4[CDRL No (BLK 1)],
"&lt;" &amp; Table4[CDRL No (BLK 1)]), 0)),"")</f>
        <v>A-008</v>
      </c>
      <c r="Q5" s="43" t="s">
        <v>138</v>
      </c>
      <c r="S5" s="43" t="str">
        <f t="shared" si="0"/>
        <v>L</v>
      </c>
      <c r="T5" s="43" t="str">
        <f t="shared" si="1"/>
        <v/>
      </c>
      <c r="V5" s="43" t="str">
        <f t="array" ref="V5">IFERROR(INDEX(Table2[KTR], MATCH(SMALL(IF(COUNTIF($V$1:V4,Table2[KTR])
=0, COUNTIF(Table2[KTR], "&lt;" &amp; Table2[KTR]), ""), 1), COUNTIF(Table2[KTR],
"&lt;" &amp; Table2[KTR]), 0)),"")</f>
        <v>TO3</v>
      </c>
      <c r="W5" s="43" t="str">
        <f t="array" ref="W5">IFERROR(INDEX(Table2[CLIN], MATCH(SMALL(IF(COUNTIF($W$1:W4,Table2[CLIN])
=0, COUNTIF(Table2[CLIN], "&lt;" &amp; Table2[CLIN]), ""), 1), COUNTIF(Table2[CLIN],
"&lt;" &amp; Table2[CLIN]), 0)),"")</f>
        <v/>
      </c>
    </row>
    <row r="6" spans="1:23" x14ac:dyDescent="0.25">
      <c r="A6" s="1"/>
      <c r="B6" s="1"/>
      <c r="C6" s="39" t="s">
        <v>121</v>
      </c>
      <c r="D6" s="1"/>
      <c r="E6" s="39" t="s">
        <v>128</v>
      </c>
      <c r="F6" s="39" t="s">
        <v>127</v>
      </c>
      <c r="G6" s="39" t="str">
        <f>IF(OR(Table4[[#This Row],[KTR]]="", Table4[[#This Row],[CLIN]]="", Table4[[#This Row],[CDRL No (BLK 1)]]="")=TRUE,"",Table4[[#This Row],[KTR]]&amp;"|"&amp;Table4[[#This Row],[CLIN]]&amp;"|"&amp;Table4[[#This Row],[CDRL No (BLK 1)]])</f>
        <v>TO4|CLN-0001|A-003</v>
      </c>
      <c r="H6" s="1" t="s">
        <v>392</v>
      </c>
      <c r="I6" s="1" t="s">
        <v>134</v>
      </c>
      <c r="J6" s="1" t="s">
        <v>380</v>
      </c>
      <c r="K6" t="s">
        <v>133</v>
      </c>
      <c r="M6" s="43" t="str">
        <f t="array" ref="M6">IFERROR(INDEX(Table4[KTR], MATCH(SMALL(IF(COUNTIF($M$1:M5,Table4[KTR])
=0, COUNTIF(Table4[KTR], "&lt;" &amp; Table4[KTR]), ""), 1), COUNTIF(Table4[KTR],
"&lt;" &amp; Table4[KTR]), 0)),"")</f>
        <v/>
      </c>
      <c r="N6" s="43" t="str">
        <f t="array" ref="N6">IFERROR(INDEX(Table4[CLIN], MATCH(SMALL(IF(COUNTIF($N$1:N5,Table4[CLIN])
=0, COUNTIF(Table4[CLIN], "&lt;" &amp; Table4[CLIN]), ""), 1), COUNTIF(Table4[CLIN],
"&lt;" &amp; Table4[CLIN]), 0)),"")</f>
        <v/>
      </c>
      <c r="O6" s="43" t="str">
        <f t="array" ref="O6">IFERROR(INDEX(Table4[CDRL No (BLK 1)], MATCH(SMALL(IF(COUNTIF($O$1:O5,Table4[CDRL No (BLK 1)])
=0, COUNTIF(Table4[CDRL No (BLK 1)], "&lt;" &amp; Table4[CDRL No (BLK 1)]), ""), 1), COUNTIF(Table4[CDRL No (BLK 1)],
"&lt;" &amp; Table4[CDRL No (BLK 1)]), 0)),"")</f>
        <v>A-009</v>
      </c>
      <c r="Q6" s="43" t="s">
        <v>139</v>
      </c>
      <c r="S6" s="43" t="str">
        <f t="shared" si="0"/>
        <v>TO3</v>
      </c>
      <c r="T6" s="43" t="str">
        <f t="shared" si="1"/>
        <v/>
      </c>
      <c r="V6" s="43" t="str">
        <f t="array" ref="V6">IFERROR(INDEX(Table2[KTR], MATCH(SMALL(IF(COUNTIF($V$1:V5,Table2[KTR])
=0, COUNTIF(Table2[KTR], "&lt;" &amp; Table2[KTR]), ""), 1), COUNTIF(Table2[KTR],
"&lt;" &amp; Table2[KTR]), 0)),"")</f>
        <v>TO4</v>
      </c>
      <c r="W6" s="43" t="str">
        <f t="array" ref="W6">IFERROR(INDEX(Table2[CLIN], MATCH(SMALL(IF(COUNTIF($W$1:W5,Table2[CLIN])
=0, COUNTIF(Table2[CLIN], "&lt;" &amp; Table2[CLIN]), ""), 1), COUNTIF(Table2[CLIN],
"&lt;" &amp; Table2[CLIN]), 0)),"")</f>
        <v/>
      </c>
    </row>
    <row r="7" spans="1:23" x14ac:dyDescent="0.25">
      <c r="A7" s="1"/>
      <c r="B7" s="1"/>
      <c r="C7" s="39" t="s">
        <v>122</v>
      </c>
      <c r="D7" s="1"/>
      <c r="E7" s="39" t="s">
        <v>441</v>
      </c>
      <c r="F7" s="39" t="s">
        <v>128</v>
      </c>
      <c r="G7" s="39" t="str">
        <f>IF(OR(Table4[[#This Row],[KTR]]="", Table4[[#This Row],[CLIN]]="", Table4[[#This Row],[CDRL No (BLK 1)]]="")=TRUE,"",Table4[[#This Row],[KTR]]&amp;"|"&amp;Table4[[#This Row],[CLIN]]&amp;"|"&amp;Table4[[#This Row],[CDRL No (BLK 1)]])</f>
        <v>TO5|CLN-0001|A-003</v>
      </c>
      <c r="H7" s="1" t="s">
        <v>393</v>
      </c>
      <c r="I7" s="1" t="s">
        <v>134</v>
      </c>
      <c r="J7" s="1" t="s">
        <v>380</v>
      </c>
      <c r="K7" t="s">
        <v>133</v>
      </c>
      <c r="M7" s="43" t="str">
        <f t="array" ref="M7">IFERROR(INDEX(Table4[KTR], MATCH(SMALL(IF(COUNTIF($M$1:M6,Table4[KTR])
=0, COUNTIF(Table4[KTR], "&lt;" &amp; Table4[KTR]), ""), 1), COUNTIF(Table4[KTR],
"&lt;" &amp; Table4[KTR]), 0)),"")</f>
        <v/>
      </c>
      <c r="N7" s="43" t="str">
        <f t="array" ref="N7">IFERROR(INDEX(Table4[CLIN], MATCH(SMALL(IF(COUNTIF($N$1:N6,Table4[CLIN])
=0, COUNTIF(Table4[CLIN], "&lt;" &amp; Table4[CLIN]), ""), 1), COUNTIF(Table4[CLIN],
"&lt;" &amp; Table4[CLIN]), 0)),"")</f>
        <v/>
      </c>
      <c r="O7" s="43" t="str">
        <f t="array" ref="O7">IFERROR(INDEX(Table4[CDRL No (BLK 1)], MATCH(SMALL(IF(COUNTIF($O$1:O6,Table4[CDRL No (BLK 1)])
=0, COUNTIF(Table4[CDRL No (BLK 1)], "&lt;" &amp; Table4[CDRL No (BLK 1)]), ""), 1), COUNTIF(Table4[CDRL No (BLK 1)],
"&lt;" &amp; Table4[CDRL No (BLK 1)]), 0)),"")</f>
        <v>A-013</v>
      </c>
      <c r="Q7" s="43" t="s">
        <v>140</v>
      </c>
      <c r="S7" s="43" t="str">
        <f t="shared" si="0"/>
        <v>TO4</v>
      </c>
      <c r="T7" s="43" t="str">
        <f t="shared" si="1"/>
        <v/>
      </c>
      <c r="V7" s="43" t="str">
        <f t="array" ref="V7">IFERROR(INDEX(Table2[KTR], MATCH(SMALL(IF(COUNTIF($V$1:V6,Table2[KTR])
=0, COUNTIF(Table2[KTR], "&lt;" &amp; Table2[KTR]), ""), 1), COUNTIF(Table2[KTR],
"&lt;" &amp; Table2[KTR]), 0)),"")</f>
        <v>TO5</v>
      </c>
      <c r="W7" s="43" t="str">
        <f t="array" ref="W7">IFERROR(INDEX(Table2[CLIN], MATCH(SMALL(IF(COUNTIF($W$1:W6,Table2[CLIN])
=0, COUNTIF(Table2[CLIN], "&lt;" &amp; Table2[CLIN]), ""), 1), COUNTIF(Table2[CLIN],
"&lt;" &amp; Table2[CLIN]), 0)),"")</f>
        <v/>
      </c>
    </row>
    <row r="8" spans="1:23" x14ac:dyDescent="0.25">
      <c r="A8" s="1"/>
      <c r="B8" s="1"/>
      <c r="C8" s="1"/>
      <c r="D8" s="1"/>
      <c r="E8" s="1"/>
      <c r="F8" s="39" t="s">
        <v>441</v>
      </c>
      <c r="G8" s="39" t="str">
        <f>IF(OR(Table4[[#This Row],[KTR]]="", Table4[[#This Row],[CLIN]]="", Table4[[#This Row],[CDRL No (BLK 1)]]="")=TRUE,"",Table4[[#This Row],[KTR]]&amp;"|"&amp;Table4[[#This Row],[CLIN]]&amp;"|"&amp;Table4[[#This Row],[CDRL No (BLK 1)]])</f>
        <v>TO3|CLN-0001|A-005</v>
      </c>
      <c r="H8" s="1" t="s">
        <v>391</v>
      </c>
      <c r="I8" s="1" t="s">
        <v>134</v>
      </c>
      <c r="J8" s="1" t="s">
        <v>34</v>
      </c>
      <c r="K8" t="s">
        <v>132</v>
      </c>
      <c r="M8" s="43" t="str">
        <f t="array" ref="M8">IFERROR(INDEX(Table4[KTR], MATCH(SMALL(IF(COUNTIF($M$1:M7,Table4[KTR])
=0, COUNTIF(Table4[KTR], "&lt;" &amp; Table4[KTR]), ""), 1), COUNTIF(Table4[KTR],
"&lt;" &amp; Table4[KTR]), 0)),"")</f>
        <v/>
      </c>
      <c r="N8" s="43" t="str">
        <f t="array" ref="N8">IFERROR(INDEX(Table4[CLIN], MATCH(SMALL(IF(COUNTIF($N$1:N7,Table4[CLIN])
=0, COUNTIF(Table4[CLIN], "&lt;" &amp; Table4[CLIN]), ""), 1), COUNTIF(Table4[CLIN],
"&lt;" &amp; Table4[CLIN]), 0)),"")</f>
        <v/>
      </c>
      <c r="O8" s="43" t="str">
        <f t="array" ref="O8">IFERROR(INDEX(Table4[CDRL No (BLK 1)], MATCH(SMALL(IF(COUNTIF($O$1:O7,Table4[CDRL No (BLK 1)])
=0, COUNTIF(Table4[CDRL No (BLK 1)], "&lt;" &amp; Table4[CDRL No (BLK 1)]), ""), 1), COUNTIF(Table4[CDRL No (BLK 1)],
"&lt;" &amp; Table4[CDRL No (BLK 1)]), 0)),"")</f>
        <v>A-015</v>
      </c>
      <c r="Q8" s="43" t="s">
        <v>141</v>
      </c>
      <c r="S8" s="43" t="str">
        <f t="shared" si="0"/>
        <v>TO5</v>
      </c>
      <c r="T8" s="43" t="str">
        <f t="shared" si="1"/>
        <v/>
      </c>
      <c r="V8" s="43" t="str">
        <f t="array" ref="V8">IFERROR(INDEX(Table2[KTR], MATCH(SMALL(IF(COUNTIF($V$1:V7,Table2[KTR])
=0, COUNTIF(Table2[KTR], "&lt;" &amp; Table2[KTR]), ""), 1), COUNTIF(Table2[KTR],
"&lt;" &amp; Table2[KTR]), 0)),"")</f>
        <v/>
      </c>
      <c r="W8" s="43" t="str">
        <f t="array" ref="W8">IFERROR(INDEX(Table2[CLIN], MATCH(SMALL(IF(COUNTIF($W$1:W7,Table2[CLIN])
=0, COUNTIF(Table2[CLIN], "&lt;" &amp; Table2[CLIN]), ""), 1), COUNTIF(Table2[CLIN],
"&lt;" &amp; Table2[CLIN]), 0)),"")</f>
        <v/>
      </c>
    </row>
    <row r="9" spans="1:23" x14ac:dyDescent="0.25">
      <c r="G9" s="39" t="str">
        <f>IF(OR(Table4[[#This Row],[KTR]]="", Table4[[#This Row],[CLIN]]="", Table4[[#This Row],[CDRL No (BLK 1)]]="")=TRUE,"",Table4[[#This Row],[KTR]]&amp;"|"&amp;Table4[[#This Row],[CLIN]]&amp;"|"&amp;Table4[[#This Row],[CDRL No (BLK 1)]])</f>
        <v>TO4|CLN-0001|A-005</v>
      </c>
      <c r="H9" s="1" t="s">
        <v>392</v>
      </c>
      <c r="I9" s="1" t="s">
        <v>134</v>
      </c>
      <c r="J9" s="1" t="s">
        <v>34</v>
      </c>
      <c r="K9" t="s">
        <v>132</v>
      </c>
      <c r="M9" s="43" t="str">
        <f t="array" ref="M9">IFERROR(INDEX(Table4[KTR], MATCH(SMALL(IF(COUNTIF($M$1:M8,Table4[KTR])
=0, COUNTIF(Table4[KTR], "&lt;" &amp; Table4[KTR]), ""), 1), COUNTIF(Table4[KTR],
"&lt;" &amp; Table4[KTR]), 0)),"")</f>
        <v/>
      </c>
      <c r="N9" s="43" t="str">
        <f t="array" ref="N9">IFERROR(INDEX(Table4[CLIN], MATCH(SMALL(IF(COUNTIF($N$1:N8,Table4[CLIN])
=0, COUNTIF(Table4[CLIN], "&lt;" &amp; Table4[CLIN]), ""), 1), COUNTIF(Table4[CLIN],
"&lt;" &amp; Table4[CLIN]), 0)),"")</f>
        <v/>
      </c>
      <c r="O9" s="43" t="str">
        <f t="array" ref="O9">IFERROR(INDEX(Table4[CDRL No (BLK 1)], MATCH(SMALL(IF(COUNTIF($O$1:O8,Table4[CDRL No (BLK 1)])
=0, COUNTIF(Table4[CDRL No (BLK 1)], "&lt;" &amp; Table4[CDRL No (BLK 1)]), ""), 1), COUNTIF(Table4[CDRL No (BLK 1)],
"&lt;" &amp; Table4[CDRL No (BLK 1)]), 0)),"")</f>
        <v>A-023</v>
      </c>
      <c r="Q9" s="43" t="s">
        <v>142</v>
      </c>
      <c r="S9" s="43" t="str">
        <f t="shared" si="0"/>
        <v/>
      </c>
      <c r="T9" s="43" t="str">
        <f t="shared" si="1"/>
        <v/>
      </c>
      <c r="V9" s="43" t="str">
        <f t="array" ref="V9">IFERROR(INDEX(Table2[KTR], MATCH(SMALL(IF(COUNTIF($V$1:V8,Table2[KTR])
=0, COUNTIF(Table2[KTR], "&lt;" &amp; Table2[KTR]), ""), 1), COUNTIF(Table2[KTR],
"&lt;" &amp; Table2[KTR]), 0)),"")</f>
        <v/>
      </c>
      <c r="W9" s="43" t="str">
        <f t="array" ref="W9">IFERROR(INDEX(Table2[CLIN], MATCH(SMALL(IF(COUNTIF($W$1:W8,Table2[CLIN])
=0, COUNTIF(Table2[CLIN], "&lt;" &amp; Table2[CLIN]), ""), 1), COUNTIF(Table2[CLIN],
"&lt;" &amp; Table2[CLIN]), 0)),"")</f>
        <v/>
      </c>
    </row>
    <row r="10" spans="1:23" x14ac:dyDescent="0.25">
      <c r="G10" s="39" t="str">
        <f>IF(OR(Table4[[#This Row],[KTR]]="", Table4[[#This Row],[CLIN]]="", Table4[[#This Row],[CDRL No (BLK 1)]]="")=TRUE,"",Table4[[#This Row],[KTR]]&amp;"|"&amp;Table4[[#This Row],[CLIN]]&amp;"|"&amp;Table4[[#This Row],[CDRL No (BLK 1)]])</f>
        <v>TO5|CLN-0001|A-005</v>
      </c>
      <c r="H10" s="1" t="s">
        <v>393</v>
      </c>
      <c r="I10" s="1" t="s">
        <v>134</v>
      </c>
      <c r="J10" s="1" t="s">
        <v>34</v>
      </c>
      <c r="K10" t="s">
        <v>132</v>
      </c>
      <c r="M10" s="43" t="str">
        <f t="array" ref="M10">IFERROR(INDEX(Table4[KTR], MATCH(SMALL(IF(COUNTIF($M$1:M9,Table4[KTR])
=0, COUNTIF(Table4[KTR], "&lt;" &amp; Table4[KTR]), ""), 1), COUNTIF(Table4[KTR],
"&lt;" &amp; Table4[KTR]), 0)),"")</f>
        <v/>
      </c>
      <c r="N10" s="43" t="str">
        <f t="array" ref="N10">IFERROR(INDEX(Table4[CLIN], MATCH(SMALL(IF(COUNTIF($N$1:N9,Table4[CLIN])
=0, COUNTIF(Table4[CLIN], "&lt;" &amp; Table4[CLIN]), ""), 1), COUNTIF(Table4[CLIN],
"&lt;" &amp; Table4[CLIN]), 0)),"")</f>
        <v/>
      </c>
      <c r="O10" s="43" t="str">
        <f t="array" ref="O10">IFERROR(INDEX(Table4[CDRL No (BLK 1)], MATCH(SMALL(IF(COUNTIF($O$1:O9,Table4[CDRL No (BLK 1)])
=0, COUNTIF(Table4[CDRL No (BLK 1)], "&lt;" &amp; Table4[CDRL No (BLK 1)]), ""), 1), COUNTIF(Table4[CDRL No (BLK 1)],
"&lt;" &amp; Table4[CDRL No (BLK 1)]), 0)),"")</f>
        <v>A-038</v>
      </c>
      <c r="Q10" s="43" t="s">
        <v>143</v>
      </c>
      <c r="S10" s="43" t="str">
        <f t="shared" si="0"/>
        <v/>
      </c>
      <c r="T10" s="43" t="str">
        <f t="shared" si="1"/>
        <v/>
      </c>
      <c r="V10" s="43" t="str">
        <f t="array" ref="V10">IFERROR(INDEX(Table2[KTR], MATCH(SMALL(IF(COUNTIF($V$1:V9,Table2[KTR])
=0, COUNTIF(Table2[KTR], "&lt;" &amp; Table2[KTR]), ""), 1), COUNTIF(Table2[KTR],
"&lt;" &amp; Table2[KTR]), 0)),"")</f>
        <v/>
      </c>
      <c r="W10" s="43" t="str">
        <f t="array" ref="W10">IFERROR(INDEX(Table2[CLIN], MATCH(SMALL(IF(COUNTIF($W$1:W9,Table2[CLIN])
=0, COUNTIF(Table2[CLIN], "&lt;" &amp; Table2[CLIN]), ""), 1), COUNTIF(Table2[CLIN],
"&lt;" &amp; Table2[CLIN]), 0)),"")</f>
        <v/>
      </c>
    </row>
    <row r="11" spans="1:23" x14ac:dyDescent="0.25">
      <c r="G11" s="39" t="str">
        <f>IF(OR(Table4[[#This Row],[KTR]]="", Table4[[#This Row],[CLIN]]="", Table4[[#This Row],[CDRL No (BLK 1)]]="")=TRUE,"",Table4[[#This Row],[KTR]]&amp;"|"&amp;Table4[[#This Row],[CLIN]]&amp;"|"&amp;Table4[[#This Row],[CDRL No (BLK 1)]])</f>
        <v>TO3|CLN-0001|A-008</v>
      </c>
      <c r="H11" s="1" t="s">
        <v>391</v>
      </c>
      <c r="I11" s="1" t="s">
        <v>134</v>
      </c>
      <c r="J11" s="1" t="s">
        <v>37</v>
      </c>
      <c r="K11" t="s">
        <v>394</v>
      </c>
      <c r="M11" s="43" t="str">
        <f t="array" ref="M11">IFERROR(INDEX(Table4[KTR], MATCH(SMALL(IF(COUNTIF($M$1:M10,Table4[KTR])
=0, COUNTIF(Table4[KTR], "&lt;" &amp; Table4[KTR]), ""), 1), COUNTIF(Table4[KTR],
"&lt;" &amp; Table4[KTR]), 0)),"")</f>
        <v/>
      </c>
      <c r="N11" s="43" t="str">
        <f t="array" ref="N11">IFERROR(INDEX(Table4[CLIN], MATCH(SMALL(IF(COUNTIF($N$1:N10,Table4[CLIN])
=0, COUNTIF(Table4[CLIN], "&lt;" &amp; Table4[CLIN]), ""), 1), COUNTIF(Table4[CLIN],
"&lt;" &amp; Table4[CLIN]), 0)),"")</f>
        <v/>
      </c>
      <c r="O11" s="43" t="str">
        <f t="array" ref="O11">IFERROR(INDEX(Table4[CDRL No (BLK 1)], MATCH(SMALL(IF(COUNTIF($O$1:O10,Table4[CDRL No (BLK 1)])
=0, COUNTIF(Table4[CDRL No (BLK 1)], "&lt;" &amp; Table4[CDRL No (BLK 1)]), ""), 1), COUNTIF(Table4[CDRL No (BLK 1)],
"&lt;" &amp; Table4[CDRL No (BLK 1)]), 0)),"")</f>
        <v>A-056</v>
      </c>
      <c r="Q11" s="43" t="s">
        <v>440</v>
      </c>
      <c r="S11" s="43" t="str">
        <f t="shared" si="0"/>
        <v/>
      </c>
      <c r="T11" s="43" t="str">
        <f t="shared" si="1"/>
        <v/>
      </c>
      <c r="V11" s="43" t="str">
        <f t="array" ref="V11">IFERROR(INDEX(Table2[KTR], MATCH(SMALL(IF(COUNTIF($V$1:V10,Table2[KTR])
=0, COUNTIF(Table2[KTR], "&lt;" &amp; Table2[KTR]), ""), 1), COUNTIF(Table2[KTR],
"&lt;" &amp; Table2[KTR]), 0)),"")</f>
        <v/>
      </c>
      <c r="W11" s="43" t="str">
        <f t="array" ref="W11">IFERROR(INDEX(Table2[CLIN], MATCH(SMALL(IF(COUNTIF($W$1:W10,Table2[CLIN])
=0, COUNTIF(Table2[CLIN], "&lt;" &amp; Table2[CLIN]), ""), 1), COUNTIF(Table2[CLIN],
"&lt;" &amp; Table2[CLIN]), 0)),"")</f>
        <v/>
      </c>
    </row>
    <row r="12" spans="1:23" x14ac:dyDescent="0.25">
      <c r="G12" s="39" t="str">
        <f>IF(OR(Table4[[#This Row],[KTR]]="", Table4[[#This Row],[CLIN]]="", Table4[[#This Row],[CDRL No (BLK 1)]]="")=TRUE,"",Table4[[#This Row],[KTR]]&amp;"|"&amp;Table4[[#This Row],[CLIN]]&amp;"|"&amp;Table4[[#This Row],[CDRL No (BLK 1)]])</f>
        <v>TO4|CLN-0001|A-008</v>
      </c>
      <c r="H12" s="1" t="s">
        <v>392</v>
      </c>
      <c r="I12" s="1" t="s">
        <v>134</v>
      </c>
      <c r="J12" s="1" t="s">
        <v>37</v>
      </c>
      <c r="K12" t="s">
        <v>394</v>
      </c>
      <c r="M12" s="43" t="str">
        <f t="array" ref="M12">IFERROR(INDEX(Table4[KTR], MATCH(SMALL(IF(COUNTIF($M$1:M11,Table4[KTR])
=0, COUNTIF(Table4[KTR], "&lt;" &amp; Table4[KTR]), ""), 1), COUNTIF(Table4[KTR],
"&lt;" &amp; Table4[KTR]), 0)),"")</f>
        <v/>
      </c>
      <c r="N12" s="43" t="str">
        <f t="array" ref="N12">IFERROR(INDEX(Table4[CLIN], MATCH(SMALL(IF(COUNTIF($N$1:N11,Table4[CLIN])
=0, COUNTIF(Table4[CLIN], "&lt;" &amp; Table4[CLIN]), ""), 1), COUNTIF(Table4[CLIN],
"&lt;" &amp; Table4[CLIN]), 0)),"")</f>
        <v/>
      </c>
      <c r="O12" s="43" t="str">
        <f t="array" ref="O12">IFERROR(INDEX(Table4[CDRL No (BLK 1)], MATCH(SMALL(IF(COUNTIF($O$1:O11,Table4[CDRL No (BLK 1)])
=0, COUNTIF(Table4[CDRL No (BLK 1)], "&lt;" &amp; Table4[CDRL No (BLK 1)]), ""), 1), COUNTIF(Table4[CDRL No (BLK 1)],
"&lt;" &amp; Table4[CDRL No (BLK 1)]), 0)),"")</f>
        <v>A-088</v>
      </c>
      <c r="Q12" s="43"/>
      <c r="S12" s="43" t="str">
        <f t="shared" si="0"/>
        <v/>
      </c>
      <c r="T12" s="43" t="str">
        <f t="shared" si="1"/>
        <v/>
      </c>
      <c r="V12" s="43" t="str">
        <f t="array" ref="V12">IFERROR(INDEX(Table2[KTR], MATCH(SMALL(IF(COUNTIF($V$1:V11,Table2[KTR])
=0, COUNTIF(Table2[KTR], "&lt;" &amp; Table2[KTR]), ""), 1), COUNTIF(Table2[KTR],
"&lt;" &amp; Table2[KTR]), 0)),"")</f>
        <v/>
      </c>
      <c r="W12" s="43" t="str">
        <f t="array" ref="W12">IFERROR(INDEX(Table2[CLIN], MATCH(SMALL(IF(COUNTIF($W$1:W11,Table2[CLIN])
=0, COUNTIF(Table2[CLIN], "&lt;" &amp; Table2[CLIN]), ""), 1), COUNTIF(Table2[CLIN],
"&lt;" &amp; Table2[CLIN]), 0)),"")</f>
        <v/>
      </c>
    </row>
    <row r="13" spans="1:23" x14ac:dyDescent="0.25">
      <c r="G13" s="39" t="str">
        <f>IF(OR(Table4[[#This Row],[KTR]]="", Table4[[#This Row],[CLIN]]="", Table4[[#This Row],[CDRL No (BLK 1)]]="")=TRUE,"",Table4[[#This Row],[KTR]]&amp;"|"&amp;Table4[[#This Row],[CLIN]]&amp;"|"&amp;Table4[[#This Row],[CDRL No (BLK 1)]])</f>
        <v>TO5|CLN-0001|A-008</v>
      </c>
      <c r="H13" s="1" t="s">
        <v>393</v>
      </c>
      <c r="I13" s="1" t="s">
        <v>134</v>
      </c>
      <c r="J13" s="1" t="s">
        <v>37</v>
      </c>
      <c r="K13" t="s">
        <v>394</v>
      </c>
      <c r="M13" s="43" t="str">
        <f t="array" ref="M13">IFERROR(INDEX(Table4[KTR], MATCH(SMALL(IF(COUNTIF($M$1:M12,Table4[KTR])
=0, COUNTIF(Table4[KTR], "&lt;" &amp; Table4[KTR]), ""), 1), COUNTIF(Table4[KTR],
"&lt;" &amp; Table4[KTR]), 0)),"")</f>
        <v/>
      </c>
      <c r="N13" s="43" t="str">
        <f t="array" ref="N13">IFERROR(INDEX(Table4[CLIN], MATCH(SMALL(IF(COUNTIF($N$1:N12,Table4[CLIN])
=0, COUNTIF(Table4[CLIN], "&lt;" &amp; Table4[CLIN]), ""), 1), COUNTIF(Table4[CLIN],
"&lt;" &amp; Table4[CLIN]), 0)),"")</f>
        <v/>
      </c>
      <c r="O13" s="43" t="str">
        <f t="array" ref="O13">IFERROR(INDEX(Table4[CDRL No (BLK 1)], MATCH(SMALL(IF(COUNTIF($O$1:O12,Table4[CDRL No (BLK 1)])
=0, COUNTIF(Table4[CDRL No (BLK 1)], "&lt;" &amp; Table4[CDRL No (BLK 1)]), ""), 1), COUNTIF(Table4[CDRL No (BLK 1)],
"&lt;" &amp; Table4[CDRL No (BLK 1)]), 0)),"")</f>
        <v>A-089</v>
      </c>
      <c r="Q13" s="43"/>
      <c r="S13" s="43" t="str">
        <f t="shared" si="0"/>
        <v/>
      </c>
      <c r="T13" s="43" t="str">
        <f t="shared" si="1"/>
        <v/>
      </c>
      <c r="V13" s="43" t="str">
        <f t="array" ref="V13">IFERROR(INDEX(Table2[KTR], MATCH(SMALL(IF(COUNTIF($V$1:V12,Table2[KTR])
=0, COUNTIF(Table2[KTR], "&lt;" &amp; Table2[KTR]), ""), 1), COUNTIF(Table2[KTR],
"&lt;" &amp; Table2[KTR]), 0)),"")</f>
        <v/>
      </c>
      <c r="W13" s="43" t="str">
        <f t="array" ref="W13">IFERROR(INDEX(Table2[CLIN], MATCH(SMALL(IF(COUNTIF($W$1:W12,Table2[CLIN])
=0, COUNTIF(Table2[CLIN], "&lt;" &amp; Table2[CLIN]), ""), 1), COUNTIF(Table2[CLIN],
"&lt;" &amp; Table2[CLIN]), 0)),"")</f>
        <v/>
      </c>
    </row>
    <row r="14" spans="1:23" x14ac:dyDescent="0.25">
      <c r="G14" s="39" t="str">
        <f>IF(OR(Table4[[#This Row],[KTR]]="", Table4[[#This Row],[CLIN]]="", Table4[[#This Row],[CDRL No (BLK 1)]]="")=TRUE,"",Table4[[#This Row],[KTR]]&amp;"|"&amp;Table4[[#This Row],[CLIN]]&amp;"|"&amp;Table4[[#This Row],[CDRL No (BLK 1)]])</f>
        <v>TO3|CLN-0001|A-009</v>
      </c>
      <c r="H14" s="1" t="s">
        <v>391</v>
      </c>
      <c r="I14" s="1" t="s">
        <v>134</v>
      </c>
      <c r="J14" s="1" t="s">
        <v>38</v>
      </c>
      <c r="K14" t="s">
        <v>131</v>
      </c>
      <c r="M14" s="43" t="str">
        <f t="array" ref="M14">IFERROR(INDEX(Table4[KTR], MATCH(SMALL(IF(COUNTIF($M$1:M13,Table4[KTR])
=0, COUNTIF(Table4[KTR], "&lt;" &amp; Table4[KTR]), ""), 1), COUNTIF(Table4[KTR],
"&lt;" &amp; Table4[KTR]), 0)),"")</f>
        <v/>
      </c>
      <c r="N14" s="43" t="str">
        <f t="array" ref="N14">IFERROR(INDEX(Table4[CLIN], MATCH(SMALL(IF(COUNTIF($N$1:N13,Table4[CLIN])
=0, COUNTIF(Table4[CLIN], "&lt;" &amp; Table4[CLIN]), ""), 1), COUNTIF(Table4[CLIN],
"&lt;" &amp; Table4[CLIN]), 0)),"")</f>
        <v/>
      </c>
      <c r="O14" s="43" t="str">
        <f t="array" ref="O14">IFERROR(INDEX(Table4[CDRL No (BLK 1)], MATCH(SMALL(IF(COUNTIF($O$1:O13,Table4[CDRL No (BLK 1)])
=0, COUNTIF(Table4[CDRL No (BLK 1)], "&lt;" &amp; Table4[CDRL No (BLK 1)]), ""), 1), COUNTIF(Table4[CDRL No (BLK 1)],
"&lt;" &amp; Table4[CDRL No (BLK 1)]), 0)),"")</f>
        <v>A-090</v>
      </c>
      <c r="Q14" s="43"/>
      <c r="S14" s="43" t="str">
        <f t="shared" si="0"/>
        <v/>
      </c>
      <c r="T14" s="43" t="str">
        <f t="shared" si="1"/>
        <v/>
      </c>
      <c r="V14" s="43" t="str">
        <f t="array" ref="V14">IFERROR(INDEX(Table2[KTR], MATCH(SMALL(IF(COUNTIF($V$1:V13,Table2[KTR])
=0, COUNTIF(Table2[KTR], "&lt;" &amp; Table2[KTR]), ""), 1), COUNTIF(Table2[KTR],
"&lt;" &amp; Table2[KTR]), 0)),"")</f>
        <v/>
      </c>
      <c r="W14" s="43" t="str">
        <f t="array" ref="W14">IFERROR(INDEX(Table2[CLIN], MATCH(SMALL(IF(COUNTIF($W$1:W13,Table2[CLIN])
=0, COUNTIF(Table2[CLIN], "&lt;" &amp; Table2[CLIN]), ""), 1), COUNTIF(Table2[CLIN],
"&lt;" &amp; Table2[CLIN]), 0)),"")</f>
        <v/>
      </c>
    </row>
    <row r="15" spans="1:23" x14ac:dyDescent="0.25">
      <c r="G15" s="39" t="str">
        <f>IF(OR(Table4[[#This Row],[KTR]]="", Table4[[#This Row],[CLIN]]="", Table4[[#This Row],[CDRL No (BLK 1)]]="")=TRUE,"",Table4[[#This Row],[KTR]]&amp;"|"&amp;Table4[[#This Row],[CLIN]]&amp;"|"&amp;Table4[[#This Row],[CDRL No (BLK 1)]])</f>
        <v>TO4|CLN-0001|A-009</v>
      </c>
      <c r="H15" s="1" t="s">
        <v>392</v>
      </c>
      <c r="I15" s="1" t="s">
        <v>134</v>
      </c>
      <c r="J15" s="1" t="s">
        <v>38</v>
      </c>
      <c r="K15" t="s">
        <v>131</v>
      </c>
      <c r="M15" s="43" t="str">
        <f t="array" ref="M15">IFERROR(INDEX(Table4[KTR], MATCH(SMALL(IF(COUNTIF($M$1:M14,Table4[KTR])
=0, COUNTIF(Table4[KTR], "&lt;" &amp; Table4[KTR]), ""), 1), COUNTIF(Table4[KTR],
"&lt;" &amp; Table4[KTR]), 0)),"")</f>
        <v/>
      </c>
      <c r="N15" s="43" t="str">
        <f t="array" ref="N15">IFERROR(INDEX(Table4[CLIN], MATCH(SMALL(IF(COUNTIF($N$1:N14,Table4[CLIN])
=0, COUNTIF(Table4[CLIN], "&lt;" &amp; Table4[CLIN]), ""), 1), COUNTIF(Table4[CLIN],
"&lt;" &amp; Table4[CLIN]), 0)),"")</f>
        <v/>
      </c>
      <c r="O15" s="43" t="str">
        <f t="array" ref="O15">IFERROR(INDEX(Table4[CDRL No (BLK 1)], MATCH(SMALL(IF(COUNTIF($O$1:O14,Table4[CDRL No (BLK 1)])
=0, COUNTIF(Table4[CDRL No (BLK 1)], "&lt;" &amp; Table4[CDRL No (BLK 1)]), ""), 1), COUNTIF(Table4[CDRL No (BLK 1)],
"&lt;" &amp; Table4[CDRL No (BLK 1)]), 0)),"")</f>
        <v>E-008</v>
      </c>
      <c r="Q15" s="43"/>
      <c r="S15" s="43" t="str">
        <f t="shared" si="0"/>
        <v/>
      </c>
      <c r="T15" s="43" t="str">
        <f t="shared" si="1"/>
        <v/>
      </c>
      <c r="V15" s="43" t="str">
        <f t="array" ref="V15">IFERROR(INDEX(Table2[KTR], MATCH(SMALL(IF(COUNTIF($V$1:V14,Table2[KTR])
=0, COUNTIF(Table2[KTR], "&lt;" &amp; Table2[KTR]), ""), 1), COUNTIF(Table2[KTR],
"&lt;" &amp; Table2[KTR]), 0)),"")</f>
        <v/>
      </c>
      <c r="W15" s="43" t="str">
        <f t="array" ref="W15">IFERROR(INDEX(Table2[CLIN], MATCH(SMALL(IF(COUNTIF($W$1:W14,Table2[CLIN])
=0, COUNTIF(Table2[CLIN], "&lt;" &amp; Table2[CLIN]), ""), 1), COUNTIF(Table2[CLIN],
"&lt;" &amp; Table2[CLIN]), 0)),"")</f>
        <v/>
      </c>
    </row>
    <row r="16" spans="1:23" x14ac:dyDescent="0.25">
      <c r="G16" s="39" t="str">
        <f>IF(OR(Table4[[#This Row],[KTR]]="", Table4[[#This Row],[CLIN]]="", Table4[[#This Row],[CDRL No (BLK 1)]]="")=TRUE,"",Table4[[#This Row],[KTR]]&amp;"|"&amp;Table4[[#This Row],[CLIN]]&amp;"|"&amp;Table4[[#This Row],[CDRL No (BLK 1)]])</f>
        <v>TO5|CLN-0001|A-009</v>
      </c>
      <c r="H16" s="1" t="s">
        <v>393</v>
      </c>
      <c r="I16" s="1" t="s">
        <v>134</v>
      </c>
      <c r="J16" s="1" t="s">
        <v>38</v>
      </c>
      <c r="K16" t="s">
        <v>131</v>
      </c>
      <c r="M16" s="1"/>
      <c r="N16" s="1"/>
      <c r="O16" s="43" t="str">
        <f t="array" ref="O16">IFERROR(INDEX(Table4[CDRL No (BLK 1)], MATCH(SMALL(IF(COUNTIF($O$1:O15,Table4[CDRL No (BLK 1)])
=0, COUNTIF(Table4[CDRL No (BLK 1)], "&lt;" &amp; Table4[CDRL No (BLK 1)]), ""), 1), COUNTIF(Table4[CDRL No (BLK 1)],
"&lt;" &amp; Table4[CDRL No (BLK 1)]), 0)),"")</f>
        <v>E-036</v>
      </c>
      <c r="Q16" s="43"/>
    </row>
    <row r="17" spans="7:17" x14ac:dyDescent="0.25">
      <c r="G17" s="39" t="str">
        <f>IF(OR(Table4[[#This Row],[KTR]]="", Table4[[#This Row],[CLIN]]="", Table4[[#This Row],[CDRL No (BLK 1)]]="")=TRUE,"",Table4[[#This Row],[KTR]]&amp;"|"&amp;Table4[[#This Row],[CLIN]]&amp;"|"&amp;Table4[[#This Row],[CDRL No (BLK 1)]])</f>
        <v>TO3|CLN-0001|A-013</v>
      </c>
      <c r="H17" s="1" t="s">
        <v>391</v>
      </c>
      <c r="I17" s="1" t="s">
        <v>134</v>
      </c>
      <c r="J17" s="1" t="s">
        <v>382</v>
      </c>
      <c r="K17" t="s">
        <v>398</v>
      </c>
      <c r="M17" s="1"/>
      <c r="N17" s="1"/>
      <c r="O17" s="43" t="str">
        <f t="array" ref="O17">IFERROR(INDEX(Table4[CDRL No (BLK 1)], MATCH(SMALL(IF(COUNTIF($O$1:O16,Table4[CDRL No (BLK 1)])
=0, COUNTIF(Table4[CDRL No (BLK 1)], "&lt;" &amp; Table4[CDRL No (BLK 1)]), ""), 1), COUNTIF(Table4[CDRL No (BLK 1)],
"&lt;" &amp; Table4[CDRL No (BLK 1)]), 0)),"")</f>
        <v>F-001</v>
      </c>
      <c r="Q17" s="43"/>
    </row>
    <row r="18" spans="7:17" x14ac:dyDescent="0.25">
      <c r="G18" s="39" t="str">
        <f>IF(OR(Table4[[#This Row],[KTR]]="", Table4[[#This Row],[CLIN]]="", Table4[[#This Row],[CDRL No (BLK 1)]]="")=TRUE,"",Table4[[#This Row],[KTR]]&amp;"|"&amp;Table4[[#This Row],[CLIN]]&amp;"|"&amp;Table4[[#This Row],[CDRL No (BLK 1)]])</f>
        <v>TO4|CLN-0001|A-013</v>
      </c>
      <c r="H18" s="1" t="s">
        <v>392</v>
      </c>
      <c r="I18" s="1" t="s">
        <v>134</v>
      </c>
      <c r="J18" s="1" t="s">
        <v>382</v>
      </c>
      <c r="K18" t="s">
        <v>398</v>
      </c>
      <c r="M18" s="1"/>
      <c r="N18" s="1"/>
      <c r="O18" s="43" t="str">
        <f t="array" ref="O18">IFERROR(INDEX(Table4[CDRL No (BLK 1)], MATCH(SMALL(IF(COUNTIF($O$1:O17,Table4[CDRL No (BLK 1)])
=0, COUNTIF(Table4[CDRL No (BLK 1)], "&lt;" &amp; Table4[CDRL No (BLK 1)]), ""), 1), COUNTIF(Table4[CDRL No (BLK 1)],
"&lt;" &amp; Table4[CDRL No (BLK 1)]), 0)),"")</f>
        <v>F-002</v>
      </c>
      <c r="Q18" s="43"/>
    </row>
    <row r="19" spans="7:17" x14ac:dyDescent="0.25">
      <c r="G19" s="39" t="str">
        <f>IF(OR(Table4[[#This Row],[KTR]]="", Table4[[#This Row],[CLIN]]="", Table4[[#This Row],[CDRL No (BLK 1)]]="")=TRUE,"",Table4[[#This Row],[KTR]]&amp;"|"&amp;Table4[[#This Row],[CLIN]]&amp;"|"&amp;Table4[[#This Row],[CDRL No (BLK 1)]])</f>
        <v>TO5|CLN-0001|A-013</v>
      </c>
      <c r="H19" s="1" t="s">
        <v>393</v>
      </c>
      <c r="I19" s="1" t="s">
        <v>134</v>
      </c>
      <c r="J19" s="1" t="s">
        <v>382</v>
      </c>
      <c r="K19" t="s">
        <v>398</v>
      </c>
      <c r="M19" s="1"/>
      <c r="N19" s="1"/>
      <c r="O19" s="43" t="str">
        <f t="array" ref="O19">IFERROR(INDEX(Table4[CDRL No (BLK 1)], MATCH(SMALL(IF(COUNTIF($O$1:O18,Table4[CDRL No (BLK 1)])
=0, COUNTIF(Table4[CDRL No (BLK 1)], "&lt;" &amp; Table4[CDRL No (BLK 1)]), ""), 1), COUNTIF(Table4[CDRL No (BLK 1)],
"&lt;" &amp; Table4[CDRL No (BLK 1)]), 0)),"")</f>
        <v>L-003</v>
      </c>
      <c r="Q19" s="43"/>
    </row>
    <row r="20" spans="7:17" x14ac:dyDescent="0.25">
      <c r="G20" s="39" t="str">
        <f>IF(OR(Table4[[#This Row],[KTR]]="", Table4[[#This Row],[CLIN]]="", Table4[[#This Row],[CDRL No (BLK 1)]]="")=TRUE,"",Table4[[#This Row],[KTR]]&amp;"|"&amp;Table4[[#This Row],[CLIN]]&amp;"|"&amp;Table4[[#This Row],[CDRL No (BLK 1)]])</f>
        <v>TO3|CLN-0001|A-015</v>
      </c>
      <c r="H20" s="1" t="s">
        <v>391</v>
      </c>
      <c r="I20" s="1" t="s">
        <v>134</v>
      </c>
      <c r="J20" s="1" t="s">
        <v>383</v>
      </c>
      <c r="K20" t="s">
        <v>399</v>
      </c>
      <c r="M20" s="1"/>
      <c r="N20" s="1"/>
      <c r="O20" s="43" t="str">
        <f t="array" ref="O20">IFERROR(INDEX(Table4[CDRL No (BLK 1)], MATCH(SMALL(IF(COUNTIF($O$1:O19,Table4[CDRL No (BLK 1)])
=0, COUNTIF(Table4[CDRL No (BLK 1)], "&lt;" &amp; Table4[CDRL No (BLK 1)]), ""), 1), COUNTIF(Table4[CDRL No (BLK 1)],
"&lt;" &amp; Table4[CDRL No (BLK 1)]), 0)),"")</f>
        <v>L-005</v>
      </c>
      <c r="Q20" s="43"/>
    </row>
    <row r="21" spans="7:17" x14ac:dyDescent="0.25">
      <c r="G21" s="39" t="str">
        <f>IF(OR(Table4[[#This Row],[KTR]]="", Table4[[#This Row],[CLIN]]="", Table4[[#This Row],[CDRL No (BLK 1)]]="")=TRUE,"",Table4[[#This Row],[KTR]]&amp;"|"&amp;Table4[[#This Row],[CLIN]]&amp;"|"&amp;Table4[[#This Row],[CDRL No (BLK 1)]])</f>
        <v>TO4|CLN-0001|A-015</v>
      </c>
      <c r="H21" s="1" t="s">
        <v>392</v>
      </c>
      <c r="I21" s="1" t="s">
        <v>134</v>
      </c>
      <c r="J21" s="1" t="s">
        <v>383</v>
      </c>
      <c r="K21" t="s">
        <v>399</v>
      </c>
      <c r="M21" s="1"/>
      <c r="N21" s="1"/>
      <c r="O21" s="43" t="str">
        <f t="array" ref="O21">IFERROR(INDEX(Table4[CDRL No (BLK 1)], MATCH(SMALL(IF(COUNTIF($O$1:O20,Table4[CDRL No (BLK 1)])
=0, COUNTIF(Table4[CDRL No (BLK 1)], "&lt;" &amp; Table4[CDRL No (BLK 1)]), ""), 1), COUNTIF(Table4[CDRL No (BLK 1)],
"&lt;" &amp; Table4[CDRL No (BLK 1)]), 0)),"")</f>
        <v>L-013</v>
      </c>
      <c r="Q21" s="43"/>
    </row>
    <row r="22" spans="7:17" x14ac:dyDescent="0.25">
      <c r="G22" s="39" t="str">
        <f>IF(OR(Table4[[#This Row],[KTR]]="", Table4[[#This Row],[CLIN]]="", Table4[[#This Row],[CDRL No (BLK 1)]]="")=TRUE,"",Table4[[#This Row],[KTR]]&amp;"|"&amp;Table4[[#This Row],[CLIN]]&amp;"|"&amp;Table4[[#This Row],[CDRL No (BLK 1)]])</f>
        <v>TO5|CLN-0001|A-015</v>
      </c>
      <c r="H22" s="1" t="s">
        <v>393</v>
      </c>
      <c r="I22" s="1" t="s">
        <v>134</v>
      </c>
      <c r="J22" s="1" t="s">
        <v>383</v>
      </c>
      <c r="K22" t="s">
        <v>399</v>
      </c>
      <c r="M22" s="1"/>
      <c r="N22" s="1"/>
      <c r="O22" s="43" t="str">
        <f t="array" ref="O22">IFERROR(INDEX(Table4[CDRL No (BLK 1)], MATCH(SMALL(IF(COUNTIF($O$1:O21,Table4[CDRL No (BLK 1)])
=0, COUNTIF(Table4[CDRL No (BLK 1)], "&lt;" &amp; Table4[CDRL No (BLK 1)]), ""), 1), COUNTIF(Table4[CDRL No (BLK 1)],
"&lt;" &amp; Table4[CDRL No (BLK 1)]), 0)),"")</f>
        <v>L-015</v>
      </c>
      <c r="Q22" s="43"/>
    </row>
    <row r="23" spans="7:17" x14ac:dyDescent="0.25">
      <c r="G23" s="39" t="str">
        <f>IF(OR(Table4[[#This Row],[KTR]]="", Table4[[#This Row],[CLIN]]="", Table4[[#This Row],[CDRL No (BLK 1)]]="")=TRUE,"",Table4[[#This Row],[KTR]]&amp;"|"&amp;Table4[[#This Row],[CLIN]]&amp;"|"&amp;Table4[[#This Row],[CDRL No (BLK 1)]])</f>
        <v>TO3|CLN-0001|A-023</v>
      </c>
      <c r="H23" s="1" t="s">
        <v>391</v>
      </c>
      <c r="I23" s="1" t="s">
        <v>134</v>
      </c>
      <c r="J23" s="1" t="s">
        <v>386</v>
      </c>
      <c r="K23" t="s">
        <v>400</v>
      </c>
      <c r="M23" s="1"/>
      <c r="N23" s="1"/>
      <c r="O23" s="43" t="str">
        <f t="array" ref="O23">IFERROR(INDEX(Table4[CDRL No (BLK 1)], MATCH(SMALL(IF(COUNTIF($O$1:O22,Table4[CDRL No (BLK 1)])
=0, COUNTIF(Table4[CDRL No (BLK 1)], "&lt;" &amp; Table4[CDRL No (BLK 1)]), ""), 1), COUNTIF(Table4[CDRL No (BLK 1)],
"&lt;" &amp; Table4[CDRL No (BLK 1)]), 0)),"")</f>
        <v>L-016</v>
      </c>
    </row>
    <row r="24" spans="7:17" x14ac:dyDescent="0.25">
      <c r="G24" s="39" t="str">
        <f>IF(OR(Table4[[#This Row],[KTR]]="", Table4[[#This Row],[CLIN]]="", Table4[[#This Row],[CDRL No (BLK 1)]]="")=TRUE,"",Table4[[#This Row],[KTR]]&amp;"|"&amp;Table4[[#This Row],[CLIN]]&amp;"|"&amp;Table4[[#This Row],[CDRL No (BLK 1)]])</f>
        <v>TO4|CLN-0001|A-023</v>
      </c>
      <c r="H24" s="1" t="s">
        <v>392</v>
      </c>
      <c r="I24" s="1" t="s">
        <v>134</v>
      </c>
      <c r="J24" s="1" t="s">
        <v>386</v>
      </c>
      <c r="K24" t="s">
        <v>400</v>
      </c>
      <c r="M24" s="1"/>
      <c r="N24" s="1"/>
      <c r="O24" s="43" t="str">
        <f t="array" ref="O24">IFERROR(INDEX(Table4[CDRL No (BLK 1)], MATCH(SMALL(IF(COUNTIF($O$1:O23,Table4[CDRL No (BLK 1)])
=0, COUNTIF(Table4[CDRL No (BLK 1)], "&lt;" &amp; Table4[CDRL No (BLK 1)]), ""), 1), COUNTIF(Table4[CDRL No (BLK 1)],
"&lt;" &amp; Table4[CDRL No (BLK 1)]), 0)),"")</f>
        <v>L-017</v>
      </c>
    </row>
    <row r="25" spans="7:17" x14ac:dyDescent="0.25">
      <c r="G25" s="39" t="str">
        <f>IF(OR(Table4[[#This Row],[KTR]]="", Table4[[#This Row],[CLIN]]="", Table4[[#This Row],[CDRL No (BLK 1)]]="")=TRUE,"",Table4[[#This Row],[KTR]]&amp;"|"&amp;Table4[[#This Row],[CLIN]]&amp;"|"&amp;Table4[[#This Row],[CDRL No (BLK 1)]])</f>
        <v>TO5|CLN-0001|A-023</v>
      </c>
      <c r="H25" s="1" t="s">
        <v>393</v>
      </c>
      <c r="I25" s="1" t="s">
        <v>134</v>
      </c>
      <c r="J25" s="1" t="s">
        <v>386</v>
      </c>
      <c r="K25" t="s">
        <v>400</v>
      </c>
      <c r="M25" s="1"/>
      <c r="N25" s="1"/>
      <c r="O25" s="43" t="str">
        <f t="array" ref="O25">IFERROR(INDEX(Table4[CDRL No (BLK 1)], MATCH(SMALL(IF(COUNTIF($O$1:O24,Table4[CDRL No (BLK 1)])
=0, COUNTIF(Table4[CDRL No (BLK 1)], "&lt;" &amp; Table4[CDRL No (BLK 1)]), ""), 1), COUNTIF(Table4[CDRL No (BLK 1)],
"&lt;" &amp; Table4[CDRL No (BLK 1)]), 0)),"")</f>
        <v>L-025</v>
      </c>
    </row>
    <row r="26" spans="7:17" x14ac:dyDescent="0.25">
      <c r="G26" s="39" t="str">
        <f>IF(OR(Table4[[#This Row],[KTR]]="", Table4[[#This Row],[CLIN]]="", Table4[[#This Row],[CDRL No (BLK 1)]]="")=TRUE,"",Table4[[#This Row],[KTR]]&amp;"|"&amp;Table4[[#This Row],[CLIN]]&amp;"|"&amp;Table4[[#This Row],[CDRL No (BLK 1)]])</f>
        <v>TO3|CLN-0001|A-038</v>
      </c>
      <c r="H26" s="1" t="s">
        <v>391</v>
      </c>
      <c r="I26" s="1" t="s">
        <v>134</v>
      </c>
      <c r="J26" s="1" t="s">
        <v>395</v>
      </c>
      <c r="K26" t="s">
        <v>385</v>
      </c>
      <c r="M26" s="1"/>
      <c r="N26" s="1"/>
      <c r="O26" s="43" t="str">
        <f t="array" ref="O26">IFERROR(INDEX(Table4[CDRL No (BLK 1)], MATCH(SMALL(IF(COUNTIF($O$1:O25,Table4[CDRL No (BLK 1)])
=0, COUNTIF(Table4[CDRL No (BLK 1)], "&lt;" &amp; Table4[CDRL No (BLK 1)]), ""), 1), COUNTIF(Table4[CDRL No (BLK 1)],
"&lt;" &amp; Table4[CDRL No (BLK 1)]), 0)),"")</f>
        <v>L-026</v>
      </c>
    </row>
    <row r="27" spans="7:17" x14ac:dyDescent="0.25">
      <c r="G27" s="39" t="str">
        <f>IF(OR(Table4[[#This Row],[KTR]]="", Table4[[#This Row],[CLIN]]="", Table4[[#This Row],[CDRL No (BLK 1)]]="")=TRUE,"",Table4[[#This Row],[KTR]]&amp;"|"&amp;Table4[[#This Row],[CLIN]]&amp;"|"&amp;Table4[[#This Row],[CDRL No (BLK 1)]])</f>
        <v>TO4|CLN-0001|A-038</v>
      </c>
      <c r="H27" s="1" t="s">
        <v>392</v>
      </c>
      <c r="I27" s="1" t="s">
        <v>134</v>
      </c>
      <c r="J27" s="1" t="s">
        <v>395</v>
      </c>
      <c r="K27" t="s">
        <v>385</v>
      </c>
      <c r="M27" s="1"/>
      <c r="N27" s="1"/>
      <c r="O27" s="43" t="str">
        <f t="array" ref="O27">IFERROR(INDEX(Table4[CDRL No (BLK 1)], MATCH(SMALL(IF(COUNTIF($O$1:O26,Table4[CDRL No (BLK 1)])
=0, COUNTIF(Table4[CDRL No (BLK 1)], "&lt;" &amp; Table4[CDRL No (BLK 1)]), ""), 1), COUNTIF(Table4[CDRL No (BLK 1)],
"&lt;" &amp; Table4[CDRL No (BLK 1)]), 0)),"")</f>
        <v>R-003</v>
      </c>
    </row>
    <row r="28" spans="7:17" x14ac:dyDescent="0.25">
      <c r="G28" s="42" t="str">
        <f>IF(OR(Table4[[#This Row],[KTR]]="", Table4[[#This Row],[CLIN]]="", Table4[[#This Row],[CDRL No (BLK 1)]]="")=TRUE,"",Table4[[#This Row],[KTR]]&amp;"|"&amp;Table4[[#This Row],[CLIN]]&amp;"|"&amp;Table4[[#This Row],[CDRL No (BLK 1)]])</f>
        <v>TO5|CLN-0001|A-038</v>
      </c>
      <c r="H28" s="1" t="s">
        <v>393</v>
      </c>
      <c r="I28" s="1" t="s">
        <v>134</v>
      </c>
      <c r="J28" s="1" t="s">
        <v>395</v>
      </c>
      <c r="K28" t="s">
        <v>385</v>
      </c>
      <c r="M28" s="1"/>
      <c r="N28" s="1"/>
      <c r="O28" s="43" t="str">
        <f t="array" ref="O28">IFERROR(INDEX(Table4[CDRL No (BLK 1)], MATCH(SMALL(IF(COUNTIF($O$1:O27,Table4[CDRL No (BLK 1)])
=0, COUNTIF(Table4[CDRL No (BLK 1)], "&lt;" &amp; Table4[CDRL No (BLK 1)]), ""), 1), COUNTIF(Table4[CDRL No (BLK 1)],
"&lt;" &amp; Table4[CDRL No (BLK 1)]), 0)),"")</f>
        <v>R-005</v>
      </c>
    </row>
    <row r="29" spans="7:17" x14ac:dyDescent="0.25">
      <c r="G29" s="42" t="str">
        <f>IF(OR(Table4[[#This Row],[KTR]]="", Table4[[#This Row],[CLIN]]="", Table4[[#This Row],[CDRL No (BLK 1)]]="")=TRUE,"",Table4[[#This Row],[KTR]]&amp;"|"&amp;Table4[[#This Row],[CLIN]]&amp;"|"&amp;Table4[[#This Row],[CDRL No (BLK 1)]])</f>
        <v>TO3|CLN-0001|A-056</v>
      </c>
      <c r="H29" s="1" t="s">
        <v>391</v>
      </c>
      <c r="I29" s="1" t="s">
        <v>134</v>
      </c>
      <c r="J29" s="1" t="s">
        <v>396</v>
      </c>
      <c r="K29" t="s">
        <v>397</v>
      </c>
      <c r="M29" s="1"/>
      <c r="N29" s="1"/>
      <c r="O29" s="43" t="str">
        <f t="array" ref="O29">IFERROR(INDEX(Table4[CDRL No (BLK 1)], MATCH(SMALL(IF(COUNTIF($O$1:O28,Table4[CDRL No (BLK 1)])
=0, COUNTIF(Table4[CDRL No (BLK 1)], "&lt;" &amp; Table4[CDRL No (BLK 1)]), ""), 1), COUNTIF(Table4[CDRL No (BLK 1)],
"&lt;" &amp; Table4[CDRL No (BLK 1)]), 0)),"")</f>
        <v>R-009</v>
      </c>
    </row>
    <row r="30" spans="7:17" x14ac:dyDescent="0.25">
      <c r="G30" s="42" t="str">
        <f>IF(OR(Table4[[#This Row],[KTR]]="", Table4[[#This Row],[CLIN]]="", Table4[[#This Row],[CDRL No (BLK 1)]]="")=TRUE,"",Table4[[#This Row],[KTR]]&amp;"|"&amp;Table4[[#This Row],[CLIN]]&amp;"|"&amp;Table4[[#This Row],[CDRL No (BLK 1)]])</f>
        <v>TO4|CLN-0001|A-056</v>
      </c>
      <c r="H30" s="1" t="s">
        <v>392</v>
      </c>
      <c r="I30" s="1" t="s">
        <v>134</v>
      </c>
      <c r="J30" s="1" t="s">
        <v>396</v>
      </c>
      <c r="K30" t="s">
        <v>397</v>
      </c>
      <c r="M30" s="1"/>
      <c r="N30" s="1"/>
      <c r="O30" s="43" t="str">
        <f t="array" ref="O30">IFERROR(INDEX(Table4[CDRL No (BLK 1)], MATCH(SMALL(IF(COUNTIF($O$1:O29,Table4[CDRL No (BLK 1)])
=0, COUNTIF(Table4[CDRL No (BLK 1)], "&lt;" &amp; Table4[CDRL No (BLK 1)]), ""), 1), COUNTIF(Table4[CDRL No (BLK 1)],
"&lt;" &amp; Table4[CDRL No (BLK 1)]), 0)),"")</f>
        <v>R-044</v>
      </c>
    </row>
    <row r="31" spans="7:17" x14ac:dyDescent="0.25">
      <c r="G31" s="42" t="str">
        <f>IF(OR(Table4[[#This Row],[KTR]]="", Table4[[#This Row],[CLIN]]="", Table4[[#This Row],[CDRL No (BLK 1)]]="")=TRUE,"",Table4[[#This Row],[KTR]]&amp;"|"&amp;Table4[[#This Row],[CLIN]]&amp;"|"&amp;Table4[[#This Row],[CDRL No (BLK 1)]])</f>
        <v>TO5|CLN-0001|A-056</v>
      </c>
      <c r="H31" s="1" t="s">
        <v>393</v>
      </c>
      <c r="I31" s="1" t="s">
        <v>134</v>
      </c>
      <c r="J31" s="1" t="s">
        <v>396</v>
      </c>
      <c r="K31" t="s">
        <v>397</v>
      </c>
      <c r="M31" s="1"/>
      <c r="N31" s="1"/>
      <c r="O31" s="43" t="str">
        <f t="array" ref="O31">IFERROR(INDEX(Table4[CDRL No (BLK 1)], MATCH(SMALL(IF(COUNTIF($O$1:O30,Table4[CDRL No (BLK 1)])
=0, COUNTIF(Table4[CDRL No (BLK 1)], "&lt;" &amp; Table4[CDRL No (BLK 1)]), ""), 1), COUNTIF(Table4[CDRL No (BLK 1)],
"&lt;" &amp; Table4[CDRL No (BLK 1)]), 0)),"")</f>
        <v>R-045</v>
      </c>
    </row>
    <row r="32" spans="7:17" x14ac:dyDescent="0.25">
      <c r="G32" s="42" t="str">
        <f>IF(OR(Table4[[#This Row],[KTR]]="", Table4[[#This Row],[CLIN]]="", Table4[[#This Row],[CDRL No (BLK 1)]]="")=TRUE,"",Table4[[#This Row],[KTR]]&amp;"|"&amp;Table4[[#This Row],[CLIN]]&amp;"|"&amp;Table4[[#This Row],[CDRL No (BLK 1)]])</f>
        <v>TO3|CLN-0001|A-088</v>
      </c>
      <c r="H32" s="1" t="s">
        <v>391</v>
      </c>
      <c r="I32" s="1" t="s">
        <v>134</v>
      </c>
      <c r="J32" s="1" t="s">
        <v>401</v>
      </c>
      <c r="K32" t="s">
        <v>129</v>
      </c>
      <c r="M32" s="1"/>
      <c r="N32" s="1"/>
      <c r="O32" s="43" t="str">
        <f t="array" ref="O32">IFERROR(INDEX(Table4[CDRL No (BLK 1)], MATCH(SMALL(IF(COUNTIF($O$1:O31,Table4[CDRL No (BLK 1)])
=0, COUNTIF(Table4[CDRL No (BLK 1)], "&lt;" &amp; Table4[CDRL No (BLK 1)]), ""), 1), COUNTIF(Table4[CDRL No (BLK 1)],
"&lt;" &amp; Table4[CDRL No (BLK 1)]), 0)),"")</f>
        <v>T-004</v>
      </c>
    </row>
    <row r="33" spans="7:15" x14ac:dyDescent="0.25">
      <c r="G33" s="42" t="str">
        <f>IF(OR(Table4[[#This Row],[KTR]]="", Table4[[#This Row],[CLIN]]="", Table4[[#This Row],[CDRL No (BLK 1)]]="")=TRUE,"",Table4[[#This Row],[KTR]]&amp;"|"&amp;Table4[[#This Row],[CLIN]]&amp;"|"&amp;Table4[[#This Row],[CDRL No (BLK 1)]])</f>
        <v>TO4|CLN-0001|A-088</v>
      </c>
      <c r="H33" s="1" t="s">
        <v>392</v>
      </c>
      <c r="I33" s="1" t="s">
        <v>134</v>
      </c>
      <c r="J33" s="1" t="s">
        <v>401</v>
      </c>
      <c r="K33" t="s">
        <v>129</v>
      </c>
      <c r="M33" s="1"/>
      <c r="N33" s="1"/>
      <c r="O33" s="43" t="str">
        <f t="array" ref="O33">IFERROR(INDEX(Table4[CDRL No (BLK 1)], MATCH(SMALL(IF(COUNTIF($O$1:O32,Table4[CDRL No (BLK 1)])
=0, COUNTIF(Table4[CDRL No (BLK 1)], "&lt;" &amp; Table4[CDRL No (BLK 1)]), ""), 1), COUNTIF(Table4[CDRL No (BLK 1)],
"&lt;" &amp; Table4[CDRL No (BLK 1)]), 0)),"")</f>
        <v>T-014</v>
      </c>
    </row>
    <row r="34" spans="7:15" x14ac:dyDescent="0.25">
      <c r="G34" s="42" t="str">
        <f>IF(OR(Table4[[#This Row],[KTR]]="", Table4[[#This Row],[CLIN]]="", Table4[[#This Row],[CDRL No (BLK 1)]]="")=TRUE,"",Table4[[#This Row],[KTR]]&amp;"|"&amp;Table4[[#This Row],[CLIN]]&amp;"|"&amp;Table4[[#This Row],[CDRL No (BLK 1)]])</f>
        <v>TO5|CLN-0001|A-088</v>
      </c>
      <c r="H34" s="1" t="s">
        <v>393</v>
      </c>
      <c r="I34" s="1" t="s">
        <v>134</v>
      </c>
      <c r="J34" s="1" t="s">
        <v>401</v>
      </c>
      <c r="K34" t="s">
        <v>129</v>
      </c>
      <c r="M34" s="1"/>
      <c r="N34" s="1"/>
      <c r="O34" s="43" t="str">
        <f t="array" ref="O34">IFERROR(INDEX(Table4[CDRL No (BLK 1)], MATCH(SMALL(IF(COUNTIF($O$1:O33,Table4[CDRL No (BLK 1)])
=0, COUNTIF(Table4[CDRL No (BLK 1)], "&lt;" &amp; Table4[CDRL No (BLK 1)]), ""), 1), COUNTIF(Table4[CDRL No (BLK 1)],
"&lt;" &amp; Table4[CDRL No (BLK 1)]), 0)),"")</f>
        <v>T-020</v>
      </c>
    </row>
    <row r="35" spans="7:15" x14ac:dyDescent="0.25">
      <c r="G35" s="42" t="str">
        <f>IF(OR(Table4[[#This Row],[KTR]]="", Table4[[#This Row],[CLIN]]="", Table4[[#This Row],[CDRL No (BLK 1)]]="")=TRUE,"",Table4[[#This Row],[KTR]]&amp;"|"&amp;Table4[[#This Row],[CLIN]]&amp;"|"&amp;Table4[[#This Row],[CDRL No (BLK 1)]])</f>
        <v>TO3|CLN-0001|A-089</v>
      </c>
      <c r="H35" s="1" t="s">
        <v>391</v>
      </c>
      <c r="I35" s="1" t="s">
        <v>134</v>
      </c>
      <c r="J35" s="1" t="s">
        <v>402</v>
      </c>
      <c r="K35" t="s">
        <v>405</v>
      </c>
      <c r="M35" s="1"/>
      <c r="N35" s="1"/>
      <c r="O35" s="43" t="str">
        <f t="array" ref="O35">IFERROR(INDEX(Table4[CDRL No (BLK 1)], MATCH(SMALL(IF(COUNTIF($O$1:O34,Table4[CDRL No (BLK 1)])
=0, COUNTIF(Table4[CDRL No (BLK 1)], "&lt;" &amp; Table4[CDRL No (BLK 1)]), ""), 1), COUNTIF(Table4[CDRL No (BLK 1)],
"&lt;" &amp; Table4[CDRL No (BLK 1)]), 0)),"")</f>
        <v/>
      </c>
    </row>
    <row r="36" spans="7:15" x14ac:dyDescent="0.25">
      <c r="G36" s="42" t="str">
        <f>IF(OR(Table4[[#This Row],[KTR]]="", Table4[[#This Row],[CLIN]]="", Table4[[#This Row],[CDRL No (BLK 1)]]="")=TRUE,"",Table4[[#This Row],[KTR]]&amp;"|"&amp;Table4[[#This Row],[CLIN]]&amp;"|"&amp;Table4[[#This Row],[CDRL No (BLK 1)]])</f>
        <v>TO4|CLN-0001|A-089</v>
      </c>
      <c r="H36" s="1" t="s">
        <v>392</v>
      </c>
      <c r="I36" s="1" t="s">
        <v>134</v>
      </c>
      <c r="J36" s="1" t="s">
        <v>402</v>
      </c>
      <c r="K36" t="s">
        <v>405</v>
      </c>
      <c r="M36" s="1"/>
      <c r="N36" s="1"/>
      <c r="O36" s="43" t="str">
        <f t="array" ref="O36">IFERROR(INDEX(Table4[CDRL No (BLK 1)], MATCH(SMALL(IF(COUNTIF($O$1:O35,Table4[CDRL No (BLK 1)])
=0, COUNTIF(Table4[CDRL No (BLK 1)], "&lt;" &amp; Table4[CDRL No (BLK 1)]), ""), 1), COUNTIF(Table4[CDRL No (BLK 1)],
"&lt;" &amp; Table4[CDRL No (BLK 1)]), 0)),"")</f>
        <v/>
      </c>
    </row>
    <row r="37" spans="7:15" x14ac:dyDescent="0.25">
      <c r="G37" s="42" t="str">
        <f>IF(OR(Table4[[#This Row],[KTR]]="", Table4[[#This Row],[CLIN]]="", Table4[[#This Row],[CDRL No (BLK 1)]]="")=TRUE,"",Table4[[#This Row],[KTR]]&amp;"|"&amp;Table4[[#This Row],[CLIN]]&amp;"|"&amp;Table4[[#This Row],[CDRL No (BLK 1)]])</f>
        <v>TO5|CLN-0001|A-089</v>
      </c>
      <c r="H37" s="1" t="s">
        <v>393</v>
      </c>
      <c r="I37" s="1" t="s">
        <v>134</v>
      </c>
      <c r="J37" s="1" t="s">
        <v>402</v>
      </c>
      <c r="K37" t="s">
        <v>405</v>
      </c>
      <c r="M37" s="1"/>
      <c r="N37" s="1"/>
      <c r="O37" s="43" t="str">
        <f t="array" ref="O37">IFERROR(INDEX(Table4[CDRL No (BLK 1)], MATCH(SMALL(IF(COUNTIF($O$1:O36,Table4[CDRL No (BLK 1)])
=0, COUNTIF(Table4[CDRL No (BLK 1)], "&lt;" &amp; Table4[CDRL No (BLK 1)]), ""), 1), COUNTIF(Table4[CDRL No (BLK 1)],
"&lt;" &amp; Table4[CDRL No (BLK 1)]), 0)),"")</f>
        <v/>
      </c>
    </row>
    <row r="38" spans="7:15" x14ac:dyDescent="0.25">
      <c r="G38" s="42" t="str">
        <f>IF(OR(Table4[[#This Row],[KTR]]="", Table4[[#This Row],[CLIN]]="", Table4[[#This Row],[CDRL No (BLK 1)]]="")=TRUE,"",Table4[[#This Row],[KTR]]&amp;"|"&amp;Table4[[#This Row],[CLIN]]&amp;"|"&amp;Table4[[#This Row],[CDRL No (BLK 1)]])</f>
        <v>TO3|CLN-0001|A-090</v>
      </c>
      <c r="H38" s="1" t="s">
        <v>391</v>
      </c>
      <c r="I38" s="1" t="s">
        <v>134</v>
      </c>
      <c r="J38" s="1" t="s">
        <v>403</v>
      </c>
      <c r="K38" t="s">
        <v>406</v>
      </c>
      <c r="M38" s="1"/>
      <c r="N38" s="1"/>
      <c r="O38" s="43" t="str">
        <f t="array" ref="O38">IFERROR(INDEX(Table4[CDRL No (BLK 1)], MATCH(SMALL(IF(COUNTIF($O$1:O37,Table4[CDRL No (BLK 1)])
=0, COUNTIF(Table4[CDRL No (BLK 1)], "&lt;" &amp; Table4[CDRL No (BLK 1)]), ""), 1), COUNTIF(Table4[CDRL No (BLK 1)],
"&lt;" &amp; Table4[CDRL No (BLK 1)]), 0)),"")</f>
        <v/>
      </c>
    </row>
    <row r="39" spans="7:15" x14ac:dyDescent="0.25">
      <c r="G39" s="42" t="str">
        <f>IF(OR(Table4[[#This Row],[KTR]]="", Table4[[#This Row],[CLIN]]="", Table4[[#This Row],[CDRL No (BLK 1)]]="")=TRUE,"",Table4[[#This Row],[KTR]]&amp;"|"&amp;Table4[[#This Row],[CLIN]]&amp;"|"&amp;Table4[[#This Row],[CDRL No (BLK 1)]])</f>
        <v>TO4|CLN-0001|A-090</v>
      </c>
      <c r="H39" s="1" t="s">
        <v>392</v>
      </c>
      <c r="I39" s="1" t="s">
        <v>134</v>
      </c>
      <c r="J39" s="1" t="s">
        <v>403</v>
      </c>
      <c r="K39" t="s">
        <v>406</v>
      </c>
    </row>
    <row r="40" spans="7:15" x14ac:dyDescent="0.25">
      <c r="G40" s="42" t="str">
        <f>IF(OR(Table4[[#This Row],[KTR]]="", Table4[[#This Row],[CLIN]]="", Table4[[#This Row],[CDRL No (BLK 1)]]="")=TRUE,"",Table4[[#This Row],[KTR]]&amp;"|"&amp;Table4[[#This Row],[CLIN]]&amp;"|"&amp;Table4[[#This Row],[CDRL No (BLK 1)]])</f>
        <v>TO5|CLN-0001|A-090</v>
      </c>
      <c r="H40" s="1" t="s">
        <v>393</v>
      </c>
      <c r="I40" s="1" t="s">
        <v>134</v>
      </c>
      <c r="J40" s="1" t="s">
        <v>403</v>
      </c>
      <c r="K40" t="s">
        <v>406</v>
      </c>
    </row>
    <row r="41" spans="7:15" x14ac:dyDescent="0.25">
      <c r="G41" s="42" t="str">
        <f>IF(OR(Table4[[#This Row],[KTR]]="", Table4[[#This Row],[CLIN]]="", Table4[[#This Row],[CDRL No (BLK 1)]]="")=TRUE,"",Table4[[#This Row],[KTR]]&amp;"|"&amp;Table4[[#This Row],[CLIN]]&amp;"|"&amp;Table4[[#This Row],[CDRL No (BLK 1)]])</f>
        <v>TO3|CLN-0001|E-008</v>
      </c>
      <c r="H41" s="1" t="s">
        <v>391</v>
      </c>
      <c r="I41" s="1" t="s">
        <v>134</v>
      </c>
      <c r="J41" s="1" t="s">
        <v>404</v>
      </c>
      <c r="K41" t="s">
        <v>407</v>
      </c>
    </row>
    <row r="42" spans="7:15" x14ac:dyDescent="0.25">
      <c r="G42" s="42" t="str">
        <f>IF(OR(Table4[[#This Row],[KTR]]="", Table4[[#This Row],[CLIN]]="", Table4[[#This Row],[CDRL No (BLK 1)]]="")=TRUE,"",Table4[[#This Row],[KTR]]&amp;"|"&amp;Table4[[#This Row],[CLIN]]&amp;"|"&amp;Table4[[#This Row],[CDRL No (BLK 1)]])</f>
        <v>TO4|CLN-0001|E-008</v>
      </c>
      <c r="H42" s="1" t="s">
        <v>392</v>
      </c>
      <c r="I42" s="1" t="s">
        <v>134</v>
      </c>
      <c r="J42" s="1" t="s">
        <v>404</v>
      </c>
      <c r="K42" t="s">
        <v>407</v>
      </c>
    </row>
    <row r="43" spans="7:15" x14ac:dyDescent="0.25">
      <c r="G43" s="42" t="str">
        <f>IF(OR(Table4[[#This Row],[KTR]]="", Table4[[#This Row],[CLIN]]="", Table4[[#This Row],[CDRL No (BLK 1)]]="")=TRUE,"",Table4[[#This Row],[KTR]]&amp;"|"&amp;Table4[[#This Row],[CLIN]]&amp;"|"&amp;Table4[[#This Row],[CDRL No (BLK 1)]])</f>
        <v>TO5|CLN-0001|E-008</v>
      </c>
      <c r="H43" s="1" t="s">
        <v>393</v>
      </c>
      <c r="I43" s="1" t="s">
        <v>134</v>
      </c>
      <c r="J43" s="1" t="s">
        <v>404</v>
      </c>
      <c r="K43" t="s">
        <v>407</v>
      </c>
    </row>
    <row r="44" spans="7:15" x14ac:dyDescent="0.25">
      <c r="G44" s="42" t="str">
        <f>IF(OR(Table4[[#This Row],[KTR]]="", Table4[[#This Row],[CLIN]]="", Table4[[#This Row],[CDRL No (BLK 1)]]="")=TRUE,"",Table4[[#This Row],[KTR]]&amp;"|"&amp;Table4[[#This Row],[CLIN]]&amp;"|"&amp;Table4[[#This Row],[CDRL No (BLK 1)]])</f>
        <v>TO3|CLN-0001|E-036</v>
      </c>
      <c r="H44" s="1" t="s">
        <v>391</v>
      </c>
      <c r="I44" s="1" t="s">
        <v>134</v>
      </c>
      <c r="J44" s="1" t="s">
        <v>408</v>
      </c>
      <c r="K44" t="s">
        <v>409</v>
      </c>
    </row>
    <row r="45" spans="7:15" x14ac:dyDescent="0.25">
      <c r="G45" s="42" t="str">
        <f>IF(OR(Table4[[#This Row],[KTR]]="", Table4[[#This Row],[CLIN]]="", Table4[[#This Row],[CDRL No (BLK 1)]]="")=TRUE,"",Table4[[#This Row],[KTR]]&amp;"|"&amp;Table4[[#This Row],[CLIN]]&amp;"|"&amp;Table4[[#This Row],[CDRL No (BLK 1)]])</f>
        <v>TO4|CLN-0001|E-036</v>
      </c>
      <c r="H45" s="1" t="s">
        <v>392</v>
      </c>
      <c r="I45" s="1" t="s">
        <v>134</v>
      </c>
      <c r="J45" s="1" t="s">
        <v>408</v>
      </c>
      <c r="K45" t="s">
        <v>409</v>
      </c>
    </row>
    <row r="46" spans="7:15" x14ac:dyDescent="0.25">
      <c r="G46" s="42" t="str">
        <f>IF(OR(Table4[[#This Row],[KTR]]="", Table4[[#This Row],[CLIN]]="", Table4[[#This Row],[CDRL No (BLK 1)]]="")=TRUE,"",Table4[[#This Row],[KTR]]&amp;"|"&amp;Table4[[#This Row],[CLIN]]&amp;"|"&amp;Table4[[#This Row],[CDRL No (BLK 1)]])</f>
        <v>TO5|CLN-0001|E-036</v>
      </c>
      <c r="H46" s="1" t="s">
        <v>393</v>
      </c>
      <c r="I46" s="1" t="s">
        <v>134</v>
      </c>
      <c r="J46" s="1" t="s">
        <v>408</v>
      </c>
      <c r="K46" t="s">
        <v>409</v>
      </c>
    </row>
    <row r="47" spans="7:15" x14ac:dyDescent="0.25">
      <c r="G47" s="42" t="str">
        <f>IF(OR(Table4[[#This Row],[KTR]]="", Table4[[#This Row],[CLIN]]="", Table4[[#This Row],[CDRL No (BLK 1)]]="")=TRUE,"",Table4[[#This Row],[KTR]]&amp;"|"&amp;Table4[[#This Row],[CLIN]]&amp;"|"&amp;Table4[[#This Row],[CDRL No (BLK 1)]])</f>
        <v>TO3|CLN-0001|F-001</v>
      </c>
      <c r="H47" s="1" t="s">
        <v>391</v>
      </c>
      <c r="I47" s="1" t="s">
        <v>134</v>
      </c>
      <c r="J47" s="1" t="s">
        <v>56</v>
      </c>
      <c r="K47" t="s">
        <v>414</v>
      </c>
    </row>
    <row r="48" spans="7:15" x14ac:dyDescent="0.25">
      <c r="G48" s="42" t="str">
        <f>IF(OR(Table4[[#This Row],[KTR]]="", Table4[[#This Row],[CLIN]]="", Table4[[#This Row],[CDRL No (BLK 1)]]="")=TRUE,"",Table4[[#This Row],[KTR]]&amp;"|"&amp;Table4[[#This Row],[CLIN]]&amp;"|"&amp;Table4[[#This Row],[CDRL No (BLK 1)]])</f>
        <v>TO4|CLN-0001|F-001</v>
      </c>
      <c r="H48" s="1" t="s">
        <v>392</v>
      </c>
      <c r="I48" s="1" t="s">
        <v>134</v>
      </c>
      <c r="J48" s="1" t="s">
        <v>56</v>
      </c>
      <c r="K48" t="s">
        <v>414</v>
      </c>
    </row>
    <row r="49" spans="7:11" x14ac:dyDescent="0.25">
      <c r="G49" s="42" t="str">
        <f>IF(OR(Table4[[#This Row],[KTR]]="", Table4[[#This Row],[CLIN]]="", Table4[[#This Row],[CDRL No (BLK 1)]]="")=TRUE,"",Table4[[#This Row],[KTR]]&amp;"|"&amp;Table4[[#This Row],[CLIN]]&amp;"|"&amp;Table4[[#This Row],[CDRL No (BLK 1)]])</f>
        <v>TO5|CLN-0001|F-001</v>
      </c>
      <c r="H49" s="1" t="s">
        <v>393</v>
      </c>
      <c r="I49" s="1" t="s">
        <v>134</v>
      </c>
      <c r="J49" s="1" t="s">
        <v>56</v>
      </c>
      <c r="K49" t="s">
        <v>414</v>
      </c>
    </row>
    <row r="50" spans="7:11" x14ac:dyDescent="0.25">
      <c r="G50" s="42" t="str">
        <f>IF(OR(Table4[[#This Row],[KTR]]="", Table4[[#This Row],[CLIN]]="", Table4[[#This Row],[CDRL No (BLK 1)]]="")=TRUE,"",Table4[[#This Row],[KTR]]&amp;"|"&amp;Table4[[#This Row],[CLIN]]&amp;"|"&amp;Table4[[#This Row],[CDRL No (BLK 1)]])</f>
        <v>TO3|CLN-0001|F-002</v>
      </c>
      <c r="H50" s="1" t="s">
        <v>391</v>
      </c>
      <c r="I50" s="1" t="s">
        <v>134</v>
      </c>
      <c r="J50" s="1" t="s">
        <v>410</v>
      </c>
      <c r="K50" t="s">
        <v>415</v>
      </c>
    </row>
    <row r="51" spans="7:11" x14ac:dyDescent="0.25">
      <c r="G51" s="42" t="str">
        <f>IF(OR(Table4[[#This Row],[KTR]]="", Table4[[#This Row],[CLIN]]="", Table4[[#This Row],[CDRL No (BLK 1)]]="")=TRUE,"",Table4[[#This Row],[KTR]]&amp;"|"&amp;Table4[[#This Row],[CLIN]]&amp;"|"&amp;Table4[[#This Row],[CDRL No (BLK 1)]])</f>
        <v>TO4|CLN-0001|F-002</v>
      </c>
      <c r="H51" s="1" t="s">
        <v>392</v>
      </c>
      <c r="I51" s="1" t="s">
        <v>134</v>
      </c>
      <c r="J51" s="1" t="s">
        <v>410</v>
      </c>
      <c r="K51" t="s">
        <v>415</v>
      </c>
    </row>
    <row r="52" spans="7:11" x14ac:dyDescent="0.25">
      <c r="G52" s="42" t="str">
        <f>IF(OR(Table4[[#This Row],[KTR]]="", Table4[[#This Row],[CLIN]]="", Table4[[#This Row],[CDRL No (BLK 1)]]="")=TRUE,"",Table4[[#This Row],[KTR]]&amp;"|"&amp;Table4[[#This Row],[CLIN]]&amp;"|"&amp;Table4[[#This Row],[CDRL No (BLK 1)]])</f>
        <v>TO5|CLN-0001|F-002</v>
      </c>
      <c r="H52" s="1" t="s">
        <v>393</v>
      </c>
      <c r="I52" s="1" t="s">
        <v>134</v>
      </c>
      <c r="J52" s="1" t="s">
        <v>410</v>
      </c>
      <c r="K52" t="s">
        <v>415</v>
      </c>
    </row>
    <row r="53" spans="7:11" x14ac:dyDescent="0.25">
      <c r="G53" s="42" t="str">
        <f>IF(OR(Table4[[#This Row],[KTR]]="", Table4[[#This Row],[CLIN]]="", Table4[[#This Row],[CDRL No (BLK 1)]]="")=TRUE,"",Table4[[#This Row],[KTR]]&amp;"|"&amp;Table4[[#This Row],[CLIN]]&amp;"|"&amp;Table4[[#This Row],[CDRL No (BLK 1)]])</f>
        <v>TO3|CLN-0001|L-003</v>
      </c>
      <c r="H53" s="1" t="s">
        <v>391</v>
      </c>
      <c r="I53" s="1" t="s">
        <v>134</v>
      </c>
      <c r="J53" s="1" t="s">
        <v>411</v>
      </c>
      <c r="K53" t="s">
        <v>416</v>
      </c>
    </row>
    <row r="54" spans="7:11" x14ac:dyDescent="0.25">
      <c r="G54" s="42" t="str">
        <f>IF(OR(Table4[[#This Row],[KTR]]="", Table4[[#This Row],[CLIN]]="", Table4[[#This Row],[CDRL No (BLK 1)]]="")=TRUE,"",Table4[[#This Row],[KTR]]&amp;"|"&amp;Table4[[#This Row],[CLIN]]&amp;"|"&amp;Table4[[#This Row],[CDRL No (BLK 1)]])</f>
        <v>TO4|CLN-0001|L-003</v>
      </c>
      <c r="H54" s="1" t="s">
        <v>392</v>
      </c>
      <c r="I54" s="1" t="s">
        <v>134</v>
      </c>
      <c r="J54" s="1" t="s">
        <v>411</v>
      </c>
      <c r="K54" t="s">
        <v>416</v>
      </c>
    </row>
    <row r="55" spans="7:11" x14ac:dyDescent="0.25">
      <c r="G55" s="42" t="str">
        <f>IF(OR(Table4[[#This Row],[KTR]]="", Table4[[#This Row],[CLIN]]="", Table4[[#This Row],[CDRL No (BLK 1)]]="")=TRUE,"",Table4[[#This Row],[KTR]]&amp;"|"&amp;Table4[[#This Row],[CLIN]]&amp;"|"&amp;Table4[[#This Row],[CDRL No (BLK 1)]])</f>
        <v>TO5|CLN-0001|L-003</v>
      </c>
      <c r="H55" s="1" t="s">
        <v>393</v>
      </c>
      <c r="I55" s="1" t="s">
        <v>134</v>
      </c>
      <c r="J55" s="1" t="s">
        <v>411</v>
      </c>
      <c r="K55" t="s">
        <v>416</v>
      </c>
    </row>
    <row r="56" spans="7:11" x14ac:dyDescent="0.25">
      <c r="G56" s="42" t="str">
        <f>IF(OR(Table4[[#This Row],[KTR]]="", Table4[[#This Row],[CLIN]]="", Table4[[#This Row],[CDRL No (BLK 1)]]="")=TRUE,"",Table4[[#This Row],[KTR]]&amp;"|"&amp;Table4[[#This Row],[CLIN]]&amp;"|"&amp;Table4[[#This Row],[CDRL No (BLK 1)]])</f>
        <v>TO3|CLN-0001|L-005</v>
      </c>
      <c r="H56" s="1" t="s">
        <v>391</v>
      </c>
      <c r="I56" s="1" t="s">
        <v>134</v>
      </c>
      <c r="J56" s="1" t="s">
        <v>412</v>
      </c>
      <c r="K56" t="s">
        <v>417</v>
      </c>
    </row>
    <row r="57" spans="7:11" x14ac:dyDescent="0.25">
      <c r="G57" s="42" t="str">
        <f>IF(OR(Table4[[#This Row],[KTR]]="", Table4[[#This Row],[CLIN]]="", Table4[[#This Row],[CDRL No (BLK 1)]]="")=TRUE,"",Table4[[#This Row],[KTR]]&amp;"|"&amp;Table4[[#This Row],[CLIN]]&amp;"|"&amp;Table4[[#This Row],[CDRL No (BLK 1)]])</f>
        <v>TO4|CLN-0001|L-005</v>
      </c>
      <c r="H57" s="1" t="s">
        <v>392</v>
      </c>
      <c r="I57" s="1" t="s">
        <v>134</v>
      </c>
      <c r="J57" s="1" t="s">
        <v>412</v>
      </c>
      <c r="K57" t="s">
        <v>417</v>
      </c>
    </row>
    <row r="58" spans="7:11" x14ac:dyDescent="0.25">
      <c r="G58" s="42" t="str">
        <f>IF(OR(Table4[[#This Row],[KTR]]="", Table4[[#This Row],[CLIN]]="", Table4[[#This Row],[CDRL No (BLK 1)]]="")=TRUE,"",Table4[[#This Row],[KTR]]&amp;"|"&amp;Table4[[#This Row],[CLIN]]&amp;"|"&amp;Table4[[#This Row],[CDRL No (BLK 1)]])</f>
        <v>TO5|CLN-0001|L-005</v>
      </c>
      <c r="H58" s="1" t="s">
        <v>393</v>
      </c>
      <c r="I58" s="1" t="s">
        <v>134</v>
      </c>
      <c r="J58" s="1" t="s">
        <v>412</v>
      </c>
      <c r="K58" t="s">
        <v>417</v>
      </c>
    </row>
    <row r="59" spans="7:11" x14ac:dyDescent="0.25">
      <c r="G59" s="42" t="str">
        <f>IF(OR(Table4[[#This Row],[KTR]]="", Table4[[#This Row],[CLIN]]="", Table4[[#This Row],[CDRL No (BLK 1)]]="")=TRUE,"",Table4[[#This Row],[KTR]]&amp;"|"&amp;Table4[[#This Row],[CLIN]]&amp;"|"&amp;Table4[[#This Row],[CDRL No (BLK 1)]])</f>
        <v>TO3|CLN-0001|L-013</v>
      </c>
      <c r="H59" s="1" t="s">
        <v>391</v>
      </c>
      <c r="I59" s="1" t="s">
        <v>134</v>
      </c>
      <c r="J59" s="1" t="s">
        <v>413</v>
      </c>
      <c r="K59" t="s">
        <v>390</v>
      </c>
    </row>
    <row r="60" spans="7:11" x14ac:dyDescent="0.25">
      <c r="G60" s="42" t="str">
        <f>IF(OR(Table4[[#This Row],[KTR]]="", Table4[[#This Row],[CLIN]]="", Table4[[#This Row],[CDRL No (BLK 1)]]="")=TRUE,"",Table4[[#This Row],[KTR]]&amp;"|"&amp;Table4[[#This Row],[CLIN]]&amp;"|"&amp;Table4[[#This Row],[CDRL No (BLK 1)]])</f>
        <v>TO4|CLN-0001|L-013</v>
      </c>
      <c r="H60" s="1" t="s">
        <v>392</v>
      </c>
      <c r="I60" s="1" t="s">
        <v>134</v>
      </c>
      <c r="J60" s="1" t="s">
        <v>413</v>
      </c>
      <c r="K60" t="s">
        <v>390</v>
      </c>
    </row>
    <row r="61" spans="7:11" x14ac:dyDescent="0.25">
      <c r="G61" s="42" t="str">
        <f>IF(OR(Table4[[#This Row],[KTR]]="", Table4[[#This Row],[CLIN]]="", Table4[[#This Row],[CDRL No (BLK 1)]]="")=TRUE,"",Table4[[#This Row],[KTR]]&amp;"|"&amp;Table4[[#This Row],[CLIN]]&amp;"|"&amp;Table4[[#This Row],[CDRL No (BLK 1)]])</f>
        <v>TO5|CLN-0001|L-013</v>
      </c>
      <c r="H61" s="1" t="s">
        <v>393</v>
      </c>
      <c r="I61" s="1" t="s">
        <v>134</v>
      </c>
      <c r="J61" s="1" t="s">
        <v>413</v>
      </c>
      <c r="K61" t="s">
        <v>390</v>
      </c>
    </row>
    <row r="62" spans="7:11" x14ac:dyDescent="0.25">
      <c r="G62" s="42" t="str">
        <f>IF(OR(Table4[[#This Row],[KTR]]="", Table4[[#This Row],[CLIN]]="", Table4[[#This Row],[CDRL No (BLK 1)]]="")=TRUE,"",Table4[[#This Row],[KTR]]&amp;"|"&amp;Table4[[#This Row],[CLIN]]&amp;"|"&amp;Table4[[#This Row],[CDRL No (BLK 1)]])</f>
        <v>TO3|CLN-0001|L-015</v>
      </c>
      <c r="H62" s="1" t="s">
        <v>391</v>
      </c>
      <c r="I62" s="1" t="s">
        <v>134</v>
      </c>
      <c r="J62" s="1" t="s">
        <v>418</v>
      </c>
      <c r="K62" t="s">
        <v>389</v>
      </c>
    </row>
    <row r="63" spans="7:11" x14ac:dyDescent="0.25">
      <c r="G63" s="42" t="str">
        <f>IF(OR(Table4[[#This Row],[KTR]]="", Table4[[#This Row],[CLIN]]="", Table4[[#This Row],[CDRL No (BLK 1)]]="")=TRUE,"",Table4[[#This Row],[KTR]]&amp;"|"&amp;Table4[[#This Row],[CLIN]]&amp;"|"&amp;Table4[[#This Row],[CDRL No (BLK 1)]])</f>
        <v>TO4|CLN-0001|L-015</v>
      </c>
      <c r="H63" s="1" t="s">
        <v>392</v>
      </c>
      <c r="I63" s="1" t="s">
        <v>134</v>
      </c>
      <c r="J63" s="1" t="s">
        <v>418</v>
      </c>
      <c r="K63" t="s">
        <v>389</v>
      </c>
    </row>
    <row r="64" spans="7:11" x14ac:dyDescent="0.25">
      <c r="G64" s="42" t="str">
        <f>IF(OR(Table4[[#This Row],[KTR]]="", Table4[[#This Row],[CLIN]]="", Table4[[#This Row],[CDRL No (BLK 1)]]="")=TRUE,"",Table4[[#This Row],[KTR]]&amp;"|"&amp;Table4[[#This Row],[CLIN]]&amp;"|"&amp;Table4[[#This Row],[CDRL No (BLK 1)]])</f>
        <v>TO5|CLN-0001|L-015</v>
      </c>
      <c r="H64" s="1" t="s">
        <v>393</v>
      </c>
      <c r="I64" s="1" t="s">
        <v>134</v>
      </c>
      <c r="J64" s="1" t="s">
        <v>418</v>
      </c>
      <c r="K64" t="s">
        <v>389</v>
      </c>
    </row>
    <row r="65" spans="7:11" x14ac:dyDescent="0.25">
      <c r="G65" s="42" t="str">
        <f>IF(OR(Table4[[#This Row],[KTR]]="", Table4[[#This Row],[CLIN]]="", Table4[[#This Row],[CDRL No (BLK 1)]]="")=TRUE,"",Table4[[#This Row],[KTR]]&amp;"|"&amp;Table4[[#This Row],[CLIN]]&amp;"|"&amp;Table4[[#This Row],[CDRL No (BLK 1)]])</f>
        <v>TO3|CLN-0001|L-016</v>
      </c>
      <c r="H65" s="1" t="s">
        <v>391</v>
      </c>
      <c r="I65" s="1" t="s">
        <v>134</v>
      </c>
      <c r="J65" s="1" t="s">
        <v>419</v>
      </c>
      <c r="K65" t="s">
        <v>384</v>
      </c>
    </row>
    <row r="66" spans="7:11" x14ac:dyDescent="0.25">
      <c r="G66" s="42" t="str">
        <f>IF(OR(Table4[[#This Row],[KTR]]="", Table4[[#This Row],[CLIN]]="", Table4[[#This Row],[CDRL No (BLK 1)]]="")=TRUE,"",Table4[[#This Row],[KTR]]&amp;"|"&amp;Table4[[#This Row],[CLIN]]&amp;"|"&amp;Table4[[#This Row],[CDRL No (BLK 1)]])</f>
        <v>TO4|CLN-0001|L-016</v>
      </c>
      <c r="H66" s="1" t="s">
        <v>392</v>
      </c>
      <c r="I66" s="1" t="s">
        <v>134</v>
      </c>
      <c r="J66" s="1" t="s">
        <v>419</v>
      </c>
      <c r="K66" t="s">
        <v>384</v>
      </c>
    </row>
    <row r="67" spans="7:11" x14ac:dyDescent="0.25">
      <c r="G67" s="42" t="str">
        <f>IF(OR(Table4[[#This Row],[KTR]]="", Table4[[#This Row],[CLIN]]="", Table4[[#This Row],[CDRL No (BLK 1)]]="")=TRUE,"",Table4[[#This Row],[KTR]]&amp;"|"&amp;Table4[[#This Row],[CLIN]]&amp;"|"&amp;Table4[[#This Row],[CDRL No (BLK 1)]])</f>
        <v>TO5|CLN-0001|L-016</v>
      </c>
      <c r="H67" s="1" t="s">
        <v>393</v>
      </c>
      <c r="I67" s="1" t="s">
        <v>134</v>
      </c>
      <c r="J67" s="1" t="s">
        <v>419</v>
      </c>
      <c r="K67" t="s">
        <v>384</v>
      </c>
    </row>
    <row r="68" spans="7:11" x14ac:dyDescent="0.25">
      <c r="G68" s="42" t="str">
        <f>IF(OR(Table4[[#This Row],[KTR]]="", Table4[[#This Row],[CLIN]]="", Table4[[#This Row],[CDRL No (BLK 1)]]="")=TRUE,"",Table4[[#This Row],[KTR]]&amp;"|"&amp;Table4[[#This Row],[CLIN]]&amp;"|"&amp;Table4[[#This Row],[CDRL No (BLK 1)]])</f>
        <v>TO3|CLN-0001|L-017</v>
      </c>
      <c r="H68" s="1" t="s">
        <v>391</v>
      </c>
      <c r="I68" s="1" t="s">
        <v>134</v>
      </c>
      <c r="J68" s="1" t="s">
        <v>420</v>
      </c>
      <c r="K68" t="s">
        <v>388</v>
      </c>
    </row>
    <row r="69" spans="7:11" x14ac:dyDescent="0.25">
      <c r="G69" s="42" t="str">
        <f>IF(OR(Table4[[#This Row],[KTR]]="", Table4[[#This Row],[CLIN]]="", Table4[[#This Row],[CDRL No (BLK 1)]]="")=TRUE,"",Table4[[#This Row],[KTR]]&amp;"|"&amp;Table4[[#This Row],[CLIN]]&amp;"|"&amp;Table4[[#This Row],[CDRL No (BLK 1)]])</f>
        <v>TO4|CLN-0001|L-017</v>
      </c>
      <c r="H69" s="1" t="s">
        <v>392</v>
      </c>
      <c r="I69" s="1" t="s">
        <v>134</v>
      </c>
      <c r="J69" s="1" t="s">
        <v>420</v>
      </c>
      <c r="K69" t="s">
        <v>388</v>
      </c>
    </row>
    <row r="70" spans="7:11" x14ac:dyDescent="0.25">
      <c r="G70" s="42" t="str">
        <f>IF(OR(Table4[[#This Row],[KTR]]="", Table4[[#This Row],[CLIN]]="", Table4[[#This Row],[CDRL No (BLK 1)]]="")=TRUE,"",Table4[[#This Row],[KTR]]&amp;"|"&amp;Table4[[#This Row],[CLIN]]&amp;"|"&amp;Table4[[#This Row],[CDRL No (BLK 1)]])</f>
        <v>TO5|CLN-0001|L-017</v>
      </c>
      <c r="H70" s="1" t="s">
        <v>393</v>
      </c>
      <c r="I70" s="1" t="s">
        <v>134</v>
      </c>
      <c r="J70" s="1" t="s">
        <v>420</v>
      </c>
      <c r="K70" t="s">
        <v>388</v>
      </c>
    </row>
    <row r="71" spans="7:11" x14ac:dyDescent="0.25">
      <c r="G71" s="42" t="str">
        <f>IF(OR(Table4[[#This Row],[KTR]]="", Table4[[#This Row],[CLIN]]="", Table4[[#This Row],[CDRL No (BLK 1)]]="")=TRUE,"",Table4[[#This Row],[KTR]]&amp;"|"&amp;Table4[[#This Row],[CLIN]]&amp;"|"&amp;Table4[[#This Row],[CDRL No (BLK 1)]])</f>
        <v>TO3|CLN-0001|L-025</v>
      </c>
      <c r="H71" s="1" t="s">
        <v>391</v>
      </c>
      <c r="I71" s="1" t="s">
        <v>134</v>
      </c>
      <c r="J71" s="1" t="s">
        <v>421</v>
      </c>
      <c r="K71" t="s">
        <v>430</v>
      </c>
    </row>
    <row r="72" spans="7:11" x14ac:dyDescent="0.25">
      <c r="G72" s="42" t="str">
        <f>IF(OR(Table4[[#This Row],[KTR]]="", Table4[[#This Row],[CLIN]]="", Table4[[#This Row],[CDRL No (BLK 1)]]="")=TRUE,"",Table4[[#This Row],[KTR]]&amp;"|"&amp;Table4[[#This Row],[CLIN]]&amp;"|"&amp;Table4[[#This Row],[CDRL No (BLK 1)]])</f>
        <v>TO4|CLN-0001|L-025</v>
      </c>
      <c r="H72" s="1" t="s">
        <v>392</v>
      </c>
      <c r="I72" s="1" t="s">
        <v>134</v>
      </c>
      <c r="J72" s="1" t="s">
        <v>421</v>
      </c>
      <c r="K72" t="s">
        <v>430</v>
      </c>
    </row>
    <row r="73" spans="7:11" x14ac:dyDescent="0.25">
      <c r="G73" s="42" t="str">
        <f>IF(OR(Table4[[#This Row],[KTR]]="", Table4[[#This Row],[CLIN]]="", Table4[[#This Row],[CDRL No (BLK 1)]]="")=TRUE,"",Table4[[#This Row],[KTR]]&amp;"|"&amp;Table4[[#This Row],[CLIN]]&amp;"|"&amp;Table4[[#This Row],[CDRL No (BLK 1)]])</f>
        <v>TO5|CLN-0001|L-025</v>
      </c>
      <c r="H73" s="1" t="s">
        <v>393</v>
      </c>
      <c r="I73" s="1" t="s">
        <v>134</v>
      </c>
      <c r="J73" s="1" t="s">
        <v>421</v>
      </c>
      <c r="K73" t="s">
        <v>430</v>
      </c>
    </row>
    <row r="74" spans="7:11" x14ac:dyDescent="0.25">
      <c r="G74" s="42" t="str">
        <f>IF(OR(Table4[[#This Row],[KTR]]="", Table4[[#This Row],[CLIN]]="", Table4[[#This Row],[CDRL No (BLK 1)]]="")=TRUE,"",Table4[[#This Row],[KTR]]&amp;"|"&amp;Table4[[#This Row],[CLIN]]&amp;"|"&amp;Table4[[#This Row],[CDRL No (BLK 1)]])</f>
        <v>TO3|CLN-0001|L-026</v>
      </c>
      <c r="H74" s="1" t="s">
        <v>391</v>
      </c>
      <c r="I74" s="1" t="s">
        <v>134</v>
      </c>
      <c r="J74" s="1" t="s">
        <v>422</v>
      </c>
      <c r="K74" t="s">
        <v>387</v>
      </c>
    </row>
    <row r="75" spans="7:11" x14ac:dyDescent="0.25">
      <c r="G75" s="42" t="str">
        <f>IF(OR(Table4[[#This Row],[KTR]]="", Table4[[#This Row],[CLIN]]="", Table4[[#This Row],[CDRL No (BLK 1)]]="")=TRUE,"",Table4[[#This Row],[KTR]]&amp;"|"&amp;Table4[[#This Row],[CLIN]]&amp;"|"&amp;Table4[[#This Row],[CDRL No (BLK 1)]])</f>
        <v>TO4|CLN-0001|L-026</v>
      </c>
      <c r="H75" s="1" t="s">
        <v>392</v>
      </c>
      <c r="I75" s="1" t="s">
        <v>134</v>
      </c>
      <c r="J75" s="1" t="s">
        <v>422</v>
      </c>
      <c r="K75" t="s">
        <v>387</v>
      </c>
    </row>
    <row r="76" spans="7:11" x14ac:dyDescent="0.25">
      <c r="G76" s="42" t="str">
        <f>IF(OR(Table4[[#This Row],[KTR]]="", Table4[[#This Row],[CLIN]]="", Table4[[#This Row],[CDRL No (BLK 1)]]="")=TRUE,"",Table4[[#This Row],[KTR]]&amp;"|"&amp;Table4[[#This Row],[CLIN]]&amp;"|"&amp;Table4[[#This Row],[CDRL No (BLK 1)]])</f>
        <v>TO5|CLN-0001|L-026</v>
      </c>
      <c r="H76" s="1" t="s">
        <v>393</v>
      </c>
      <c r="I76" s="1" t="s">
        <v>134</v>
      </c>
      <c r="J76" s="1" t="s">
        <v>422</v>
      </c>
      <c r="K76" t="s">
        <v>387</v>
      </c>
    </row>
    <row r="77" spans="7:11" x14ac:dyDescent="0.25">
      <c r="G77" s="42" t="str">
        <f>IF(OR(Table4[[#This Row],[KTR]]="", Table4[[#This Row],[CLIN]]="", Table4[[#This Row],[CDRL No (BLK 1)]]="")=TRUE,"",Table4[[#This Row],[KTR]]&amp;"|"&amp;Table4[[#This Row],[CLIN]]&amp;"|"&amp;Table4[[#This Row],[CDRL No (BLK 1)]])</f>
        <v>TO3|CLN-0001|R-003</v>
      </c>
      <c r="H77" s="1" t="s">
        <v>391</v>
      </c>
      <c r="I77" s="1" t="s">
        <v>134</v>
      </c>
      <c r="J77" s="1" t="s">
        <v>423</v>
      </c>
      <c r="K77" t="s">
        <v>431</v>
      </c>
    </row>
    <row r="78" spans="7:11" x14ac:dyDescent="0.25">
      <c r="G78" s="42" t="str">
        <f>IF(OR(Table4[[#This Row],[KTR]]="", Table4[[#This Row],[CLIN]]="", Table4[[#This Row],[CDRL No (BLK 1)]]="")=TRUE,"",Table4[[#This Row],[KTR]]&amp;"|"&amp;Table4[[#This Row],[CLIN]]&amp;"|"&amp;Table4[[#This Row],[CDRL No (BLK 1)]])</f>
        <v>TO4|CLN-0001|R-003</v>
      </c>
      <c r="H78" s="1" t="s">
        <v>392</v>
      </c>
      <c r="I78" s="1" t="s">
        <v>134</v>
      </c>
      <c r="J78" s="1" t="s">
        <v>423</v>
      </c>
      <c r="K78" t="s">
        <v>431</v>
      </c>
    </row>
    <row r="79" spans="7:11" x14ac:dyDescent="0.25">
      <c r="G79" s="42" t="str">
        <f>IF(OR(Table4[[#This Row],[KTR]]="", Table4[[#This Row],[CLIN]]="", Table4[[#This Row],[CDRL No (BLK 1)]]="")=TRUE,"",Table4[[#This Row],[KTR]]&amp;"|"&amp;Table4[[#This Row],[CLIN]]&amp;"|"&amp;Table4[[#This Row],[CDRL No (BLK 1)]])</f>
        <v>TO5|CLN-0001|R-003</v>
      </c>
      <c r="H79" s="1" t="s">
        <v>393</v>
      </c>
      <c r="I79" s="1" t="s">
        <v>134</v>
      </c>
      <c r="J79" s="1" t="s">
        <v>423</v>
      </c>
      <c r="K79" t="s">
        <v>431</v>
      </c>
    </row>
    <row r="80" spans="7:11" x14ac:dyDescent="0.25">
      <c r="G80" s="42" t="str">
        <f>IF(OR(Table4[[#This Row],[KTR]]="", Table4[[#This Row],[CLIN]]="", Table4[[#This Row],[CDRL No (BLK 1)]]="")=TRUE,"",Table4[[#This Row],[KTR]]&amp;"|"&amp;Table4[[#This Row],[CLIN]]&amp;"|"&amp;Table4[[#This Row],[CDRL No (BLK 1)]])</f>
        <v>TO3|CLN-0001|R-005</v>
      </c>
      <c r="H80" s="1" t="s">
        <v>391</v>
      </c>
      <c r="I80" s="1" t="s">
        <v>134</v>
      </c>
      <c r="J80" s="1" t="s">
        <v>424</v>
      </c>
      <c r="K80" t="s">
        <v>432</v>
      </c>
    </row>
    <row r="81" spans="7:11" x14ac:dyDescent="0.25">
      <c r="G81" s="42" t="str">
        <f>IF(OR(Table4[[#This Row],[KTR]]="", Table4[[#This Row],[CLIN]]="", Table4[[#This Row],[CDRL No (BLK 1)]]="")=TRUE,"",Table4[[#This Row],[KTR]]&amp;"|"&amp;Table4[[#This Row],[CLIN]]&amp;"|"&amp;Table4[[#This Row],[CDRL No (BLK 1)]])</f>
        <v>TO4|CLN-0001|R-005</v>
      </c>
      <c r="H81" s="1" t="s">
        <v>392</v>
      </c>
      <c r="I81" s="1" t="s">
        <v>134</v>
      </c>
      <c r="J81" s="1" t="s">
        <v>424</v>
      </c>
      <c r="K81" t="s">
        <v>432</v>
      </c>
    </row>
    <row r="82" spans="7:11" x14ac:dyDescent="0.25">
      <c r="G82" s="42" t="str">
        <f>IF(OR(Table4[[#This Row],[KTR]]="", Table4[[#This Row],[CLIN]]="", Table4[[#This Row],[CDRL No (BLK 1)]]="")=TRUE,"",Table4[[#This Row],[KTR]]&amp;"|"&amp;Table4[[#This Row],[CLIN]]&amp;"|"&amp;Table4[[#This Row],[CDRL No (BLK 1)]])</f>
        <v>TO5|CLN-0001|R-005</v>
      </c>
      <c r="H82" s="1" t="s">
        <v>393</v>
      </c>
      <c r="I82" s="1" t="s">
        <v>134</v>
      </c>
      <c r="J82" s="1" t="s">
        <v>424</v>
      </c>
      <c r="K82" t="s">
        <v>432</v>
      </c>
    </row>
    <row r="83" spans="7:11" x14ac:dyDescent="0.25">
      <c r="G83" s="42" t="str">
        <f>IF(OR(Table4[[#This Row],[KTR]]="", Table4[[#This Row],[CLIN]]="", Table4[[#This Row],[CDRL No (BLK 1)]]="")=TRUE,"",Table4[[#This Row],[KTR]]&amp;"|"&amp;Table4[[#This Row],[CLIN]]&amp;"|"&amp;Table4[[#This Row],[CDRL No (BLK 1)]])</f>
        <v>TO3|CLN-0001|R-009</v>
      </c>
      <c r="H83" s="1" t="s">
        <v>391</v>
      </c>
      <c r="I83" s="1" t="s">
        <v>134</v>
      </c>
      <c r="J83" s="1" t="s">
        <v>381</v>
      </c>
      <c r="K83" t="s">
        <v>433</v>
      </c>
    </row>
    <row r="84" spans="7:11" x14ac:dyDescent="0.25">
      <c r="G84" s="42" t="str">
        <f>IF(OR(Table4[[#This Row],[KTR]]="", Table4[[#This Row],[CLIN]]="", Table4[[#This Row],[CDRL No (BLK 1)]]="")=TRUE,"",Table4[[#This Row],[KTR]]&amp;"|"&amp;Table4[[#This Row],[CLIN]]&amp;"|"&amp;Table4[[#This Row],[CDRL No (BLK 1)]])</f>
        <v>TO4|CLN-0001|R-009</v>
      </c>
      <c r="H84" s="1" t="s">
        <v>392</v>
      </c>
      <c r="I84" s="1" t="s">
        <v>134</v>
      </c>
      <c r="J84" s="1" t="s">
        <v>381</v>
      </c>
      <c r="K84" t="s">
        <v>433</v>
      </c>
    </row>
    <row r="85" spans="7:11" x14ac:dyDescent="0.25">
      <c r="G85" s="42" t="str">
        <f>IF(OR(Table4[[#This Row],[KTR]]="", Table4[[#This Row],[CLIN]]="", Table4[[#This Row],[CDRL No (BLK 1)]]="")=TRUE,"",Table4[[#This Row],[KTR]]&amp;"|"&amp;Table4[[#This Row],[CLIN]]&amp;"|"&amp;Table4[[#This Row],[CDRL No (BLK 1)]])</f>
        <v>TO5|CLN-0001|R-009</v>
      </c>
      <c r="H85" s="1" t="s">
        <v>393</v>
      </c>
      <c r="I85" s="1" t="s">
        <v>134</v>
      </c>
      <c r="J85" s="1" t="s">
        <v>381</v>
      </c>
      <c r="K85" t="s">
        <v>433</v>
      </c>
    </row>
    <row r="86" spans="7:11" x14ac:dyDescent="0.25">
      <c r="G86" s="42" t="str">
        <f>IF(OR(Table4[[#This Row],[KTR]]="", Table4[[#This Row],[CLIN]]="", Table4[[#This Row],[CDRL No (BLK 1)]]="")=TRUE,"",Table4[[#This Row],[KTR]]&amp;"|"&amp;Table4[[#This Row],[CLIN]]&amp;"|"&amp;Table4[[#This Row],[CDRL No (BLK 1)]])</f>
        <v>TO3|CLN-0001|R-044</v>
      </c>
      <c r="H86" s="1" t="s">
        <v>391</v>
      </c>
      <c r="I86" s="1" t="s">
        <v>134</v>
      </c>
      <c r="J86" s="1" t="s">
        <v>425</v>
      </c>
      <c r="K86" t="s">
        <v>434</v>
      </c>
    </row>
    <row r="87" spans="7:11" x14ac:dyDescent="0.25">
      <c r="G87" s="42" t="str">
        <f>IF(OR(Table4[[#This Row],[KTR]]="", Table4[[#This Row],[CLIN]]="", Table4[[#This Row],[CDRL No (BLK 1)]]="")=TRUE,"",Table4[[#This Row],[KTR]]&amp;"|"&amp;Table4[[#This Row],[CLIN]]&amp;"|"&amp;Table4[[#This Row],[CDRL No (BLK 1)]])</f>
        <v>TO4|CLN-0001|R-044</v>
      </c>
      <c r="H87" s="1" t="s">
        <v>392</v>
      </c>
      <c r="I87" s="1" t="s">
        <v>134</v>
      </c>
      <c r="J87" s="1" t="s">
        <v>425</v>
      </c>
      <c r="K87" t="s">
        <v>434</v>
      </c>
    </row>
    <row r="88" spans="7:11" x14ac:dyDescent="0.25">
      <c r="G88" s="42" t="str">
        <f>IF(OR(Table4[[#This Row],[KTR]]="", Table4[[#This Row],[CLIN]]="", Table4[[#This Row],[CDRL No (BLK 1)]]="")=TRUE,"",Table4[[#This Row],[KTR]]&amp;"|"&amp;Table4[[#This Row],[CLIN]]&amp;"|"&amp;Table4[[#This Row],[CDRL No (BLK 1)]])</f>
        <v>TO5|CLN-0001|R-044</v>
      </c>
      <c r="H88" s="1" t="s">
        <v>393</v>
      </c>
      <c r="I88" s="1" t="s">
        <v>134</v>
      </c>
      <c r="J88" s="1" t="s">
        <v>425</v>
      </c>
      <c r="K88" t="s">
        <v>434</v>
      </c>
    </row>
    <row r="89" spans="7:11" x14ac:dyDescent="0.25">
      <c r="G89" s="42" t="str">
        <f>IF(OR(Table4[[#This Row],[KTR]]="", Table4[[#This Row],[CLIN]]="", Table4[[#This Row],[CDRL No (BLK 1)]]="")=TRUE,"",Table4[[#This Row],[KTR]]&amp;"|"&amp;Table4[[#This Row],[CLIN]]&amp;"|"&amp;Table4[[#This Row],[CDRL No (BLK 1)]])</f>
        <v>TO3|CLN-0001|R-045</v>
      </c>
      <c r="H89" s="1" t="s">
        <v>391</v>
      </c>
      <c r="I89" s="1" t="s">
        <v>134</v>
      </c>
      <c r="J89" s="1" t="s">
        <v>426</v>
      </c>
      <c r="K89" t="s">
        <v>435</v>
      </c>
    </row>
    <row r="90" spans="7:11" x14ac:dyDescent="0.25">
      <c r="G90" s="42" t="str">
        <f>IF(OR(Table4[[#This Row],[KTR]]="", Table4[[#This Row],[CLIN]]="", Table4[[#This Row],[CDRL No (BLK 1)]]="")=TRUE,"",Table4[[#This Row],[KTR]]&amp;"|"&amp;Table4[[#This Row],[CLIN]]&amp;"|"&amp;Table4[[#This Row],[CDRL No (BLK 1)]])</f>
        <v>TO4|CLN-0001|R-045</v>
      </c>
      <c r="H90" s="1" t="s">
        <v>392</v>
      </c>
      <c r="I90" s="1" t="s">
        <v>134</v>
      </c>
      <c r="J90" s="1" t="s">
        <v>426</v>
      </c>
      <c r="K90" t="s">
        <v>435</v>
      </c>
    </row>
    <row r="91" spans="7:11" x14ac:dyDescent="0.25">
      <c r="G91" s="42" t="str">
        <f>IF(OR(Table4[[#This Row],[KTR]]="", Table4[[#This Row],[CLIN]]="", Table4[[#This Row],[CDRL No (BLK 1)]]="")=TRUE,"",Table4[[#This Row],[KTR]]&amp;"|"&amp;Table4[[#This Row],[CLIN]]&amp;"|"&amp;Table4[[#This Row],[CDRL No (BLK 1)]])</f>
        <v>TO5|CLN-0001|R-045</v>
      </c>
      <c r="H91" s="1" t="s">
        <v>393</v>
      </c>
      <c r="I91" s="1" t="s">
        <v>134</v>
      </c>
      <c r="J91" s="1" t="s">
        <v>426</v>
      </c>
      <c r="K91" t="s">
        <v>435</v>
      </c>
    </row>
    <row r="92" spans="7:11" x14ac:dyDescent="0.25">
      <c r="G92" s="42" t="str">
        <f>IF(OR(Table4[[#This Row],[KTR]]="", Table4[[#This Row],[CLIN]]="", Table4[[#This Row],[CDRL No (BLK 1)]]="")=TRUE,"",Table4[[#This Row],[KTR]]&amp;"|"&amp;Table4[[#This Row],[CLIN]]&amp;"|"&amp;Table4[[#This Row],[CDRL No (BLK 1)]])</f>
        <v>TO3|CLN-0001|T-004</v>
      </c>
      <c r="H92" s="1" t="s">
        <v>391</v>
      </c>
      <c r="I92" s="1" t="s">
        <v>134</v>
      </c>
      <c r="J92" s="1" t="s">
        <v>427</v>
      </c>
      <c r="K92" t="s">
        <v>436</v>
      </c>
    </row>
    <row r="93" spans="7:11" x14ac:dyDescent="0.25">
      <c r="G93" s="42" t="str">
        <f>IF(OR(Table4[[#This Row],[KTR]]="", Table4[[#This Row],[CLIN]]="", Table4[[#This Row],[CDRL No (BLK 1)]]="")=TRUE,"",Table4[[#This Row],[KTR]]&amp;"|"&amp;Table4[[#This Row],[CLIN]]&amp;"|"&amp;Table4[[#This Row],[CDRL No (BLK 1)]])</f>
        <v>TO4|CLN-0001|T-004</v>
      </c>
      <c r="H93" s="1" t="s">
        <v>392</v>
      </c>
      <c r="I93" s="1" t="s">
        <v>134</v>
      </c>
      <c r="J93" s="1" t="s">
        <v>427</v>
      </c>
      <c r="K93" t="s">
        <v>436</v>
      </c>
    </row>
    <row r="94" spans="7:11" x14ac:dyDescent="0.25">
      <c r="G94" s="42" t="str">
        <f>IF(OR(Table4[[#This Row],[KTR]]="", Table4[[#This Row],[CLIN]]="", Table4[[#This Row],[CDRL No (BLK 1)]]="")=TRUE,"",Table4[[#This Row],[KTR]]&amp;"|"&amp;Table4[[#This Row],[CLIN]]&amp;"|"&amp;Table4[[#This Row],[CDRL No (BLK 1)]])</f>
        <v>TO5|CLN-0001|T-004</v>
      </c>
      <c r="H94" s="1" t="s">
        <v>393</v>
      </c>
      <c r="I94" s="1" t="s">
        <v>134</v>
      </c>
      <c r="J94" s="1" t="s">
        <v>427</v>
      </c>
      <c r="K94" t="s">
        <v>436</v>
      </c>
    </row>
    <row r="95" spans="7:11" x14ac:dyDescent="0.25">
      <c r="G95" s="42" t="str">
        <f>IF(OR(Table4[[#This Row],[KTR]]="", Table4[[#This Row],[CLIN]]="", Table4[[#This Row],[CDRL No (BLK 1)]]="")=TRUE,"",Table4[[#This Row],[KTR]]&amp;"|"&amp;Table4[[#This Row],[CLIN]]&amp;"|"&amp;Table4[[#This Row],[CDRL No (BLK 1)]])</f>
        <v>TO3|CLN-0001|T-014</v>
      </c>
      <c r="H95" s="1" t="s">
        <v>391</v>
      </c>
      <c r="I95" s="1" t="s">
        <v>134</v>
      </c>
      <c r="J95" s="1" t="s">
        <v>428</v>
      </c>
      <c r="K95" t="s">
        <v>437</v>
      </c>
    </row>
    <row r="96" spans="7:11" x14ac:dyDescent="0.25">
      <c r="G96" s="42" t="str">
        <f>IF(OR(Table4[[#This Row],[KTR]]="", Table4[[#This Row],[CLIN]]="", Table4[[#This Row],[CDRL No (BLK 1)]]="")=TRUE,"",Table4[[#This Row],[KTR]]&amp;"|"&amp;Table4[[#This Row],[CLIN]]&amp;"|"&amp;Table4[[#This Row],[CDRL No (BLK 1)]])</f>
        <v>TO4|CLN-0001|T-014</v>
      </c>
      <c r="H96" s="1" t="s">
        <v>392</v>
      </c>
      <c r="I96" s="1" t="s">
        <v>134</v>
      </c>
      <c r="J96" s="1" t="s">
        <v>428</v>
      </c>
      <c r="K96" t="s">
        <v>437</v>
      </c>
    </row>
    <row r="97" spans="7:11" x14ac:dyDescent="0.25">
      <c r="G97" s="42" t="str">
        <f>IF(OR(Table4[[#This Row],[KTR]]="", Table4[[#This Row],[CLIN]]="", Table4[[#This Row],[CDRL No (BLK 1)]]="")=TRUE,"",Table4[[#This Row],[KTR]]&amp;"|"&amp;Table4[[#This Row],[CLIN]]&amp;"|"&amp;Table4[[#This Row],[CDRL No (BLK 1)]])</f>
        <v>TO5|CLN-0001|T-014</v>
      </c>
      <c r="H97" s="1" t="s">
        <v>393</v>
      </c>
      <c r="I97" s="1" t="s">
        <v>134</v>
      </c>
      <c r="J97" s="1" t="s">
        <v>428</v>
      </c>
      <c r="K97" t="s">
        <v>437</v>
      </c>
    </row>
    <row r="98" spans="7:11" x14ac:dyDescent="0.25">
      <c r="G98" s="42" t="str">
        <f>IF(OR(Table4[[#This Row],[KTR]]="", Table4[[#This Row],[CLIN]]="", Table4[[#This Row],[CDRL No (BLK 1)]]="")=TRUE,"",Table4[[#This Row],[KTR]]&amp;"|"&amp;Table4[[#This Row],[CLIN]]&amp;"|"&amp;Table4[[#This Row],[CDRL No (BLK 1)]])</f>
        <v>TO3|CLN-0001|T-020</v>
      </c>
      <c r="H98" s="1" t="s">
        <v>391</v>
      </c>
      <c r="I98" s="1" t="s">
        <v>134</v>
      </c>
      <c r="J98" s="1" t="s">
        <v>429</v>
      </c>
      <c r="K98" t="s">
        <v>438</v>
      </c>
    </row>
    <row r="99" spans="7:11" x14ac:dyDescent="0.25">
      <c r="G99" s="42" t="str">
        <f>IF(OR(Table4[[#This Row],[KTR]]="", Table4[[#This Row],[CLIN]]="", Table4[[#This Row],[CDRL No (BLK 1)]]="")=TRUE,"",Table4[[#This Row],[KTR]]&amp;"|"&amp;Table4[[#This Row],[CLIN]]&amp;"|"&amp;Table4[[#This Row],[CDRL No (BLK 1)]])</f>
        <v>TO4|CLN-0001|T-020</v>
      </c>
      <c r="H99" s="1" t="s">
        <v>392</v>
      </c>
      <c r="I99" s="1" t="s">
        <v>134</v>
      </c>
      <c r="J99" s="1" t="s">
        <v>429</v>
      </c>
      <c r="K99" t="s">
        <v>438</v>
      </c>
    </row>
    <row r="100" spans="7:11" x14ac:dyDescent="0.25">
      <c r="G100" s="42" t="str">
        <f>IF(OR(Table4[[#This Row],[KTR]]="", Table4[[#This Row],[CLIN]]="", Table4[[#This Row],[CDRL No (BLK 1)]]="")=TRUE,"",Table4[[#This Row],[KTR]]&amp;"|"&amp;Table4[[#This Row],[CLIN]]&amp;"|"&amp;Table4[[#This Row],[CDRL No (BLK 1)]])</f>
        <v>TO5|CLN-0001|T-020</v>
      </c>
      <c r="H100" s="1" t="s">
        <v>393</v>
      </c>
      <c r="I100" s="1" t="s">
        <v>134</v>
      </c>
      <c r="J100" s="1" t="s">
        <v>429</v>
      </c>
      <c r="K100" t="s">
        <v>438</v>
      </c>
    </row>
  </sheetData>
  <phoneticPr fontId="5" type="noConversion"/>
  <pageMargins left="0.7" right="0.7" top="0.75" bottom="0.75" header="0.3" footer="0.3"/>
  <drawing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J82"/>
  <sheetViews>
    <sheetView workbookViewId="0">
      <selection activeCell="E15" sqref="E15"/>
    </sheetView>
  </sheetViews>
  <sheetFormatPr defaultRowHeight="15" x14ac:dyDescent="0.25"/>
  <cols>
    <col min="2" max="2" width="16.42578125" customWidth="1"/>
    <col min="5" max="5" width="16.5703125" customWidth="1"/>
    <col min="8" max="8" width="10.7109375" style="1" bestFit="1" customWidth="1"/>
    <col min="9" max="9" width="14.42578125" customWidth="1"/>
    <col min="10" max="10" width="34.5703125" customWidth="1"/>
  </cols>
  <sheetData>
    <row r="1" spans="2:10" ht="30" x14ac:dyDescent="0.25">
      <c r="B1" s="44" t="s">
        <v>144</v>
      </c>
      <c r="C1" s="44" t="s">
        <v>145</v>
      </c>
      <c r="D1" s="44" t="s">
        <v>146</v>
      </c>
      <c r="E1" s="44" t="s">
        <v>147</v>
      </c>
      <c r="F1" s="34"/>
      <c r="H1" s="53" t="s">
        <v>153</v>
      </c>
      <c r="I1" s="52"/>
      <c r="J1" s="52"/>
    </row>
    <row r="2" spans="2:10" x14ac:dyDescent="0.25">
      <c r="B2" s="45">
        <v>43942</v>
      </c>
      <c r="C2" s="46">
        <v>-20</v>
      </c>
      <c r="D2" s="46" t="s">
        <v>148</v>
      </c>
      <c r="E2" s="45">
        <f>IF(D2="BD", WORKDAY(B2,C2,$H$3:$H$92), B2+C2)</f>
        <v>43914</v>
      </c>
      <c r="H2" s="46" t="s">
        <v>154</v>
      </c>
      <c r="I2" s="46" t="s">
        <v>155</v>
      </c>
      <c r="J2" s="46" t="s">
        <v>156</v>
      </c>
    </row>
    <row r="3" spans="2:10" x14ac:dyDescent="0.25">
      <c r="H3" s="50">
        <v>43466</v>
      </c>
      <c r="I3" s="54">
        <f>H3</f>
        <v>43466</v>
      </c>
      <c r="J3" s="48" t="s">
        <v>157</v>
      </c>
    </row>
    <row r="4" spans="2:10" x14ac:dyDescent="0.25">
      <c r="B4" s="25" t="s">
        <v>149</v>
      </c>
      <c r="H4" s="50">
        <v>43486</v>
      </c>
      <c r="I4" s="54">
        <f t="shared" ref="I4:I21" si="0">H4</f>
        <v>43486</v>
      </c>
      <c r="J4" s="48" t="s">
        <v>158</v>
      </c>
    </row>
    <row r="5" spans="2:10" x14ac:dyDescent="0.25">
      <c r="B5" s="47" t="s">
        <v>150</v>
      </c>
      <c r="H5" s="50">
        <v>43514</v>
      </c>
      <c r="I5" s="54">
        <f t="shared" si="0"/>
        <v>43514</v>
      </c>
      <c r="J5" s="48" t="s">
        <v>159</v>
      </c>
    </row>
    <row r="6" spans="2:10" x14ac:dyDescent="0.25">
      <c r="B6" s="47" t="s">
        <v>152</v>
      </c>
      <c r="H6" s="50">
        <v>43612</v>
      </c>
      <c r="I6" s="54">
        <f t="shared" si="0"/>
        <v>43612</v>
      </c>
      <c r="J6" s="48" t="s">
        <v>160</v>
      </c>
    </row>
    <row r="7" spans="2:10" x14ac:dyDescent="0.25">
      <c r="B7" s="47" t="s">
        <v>442</v>
      </c>
      <c r="H7" s="50">
        <v>43650</v>
      </c>
      <c r="I7" s="54">
        <f t="shared" si="0"/>
        <v>43650</v>
      </c>
      <c r="J7" s="48" t="s">
        <v>161</v>
      </c>
    </row>
    <row r="8" spans="2:10" x14ac:dyDescent="0.25">
      <c r="B8" s="47" t="s">
        <v>443</v>
      </c>
      <c r="H8" s="50">
        <v>43710</v>
      </c>
      <c r="I8" s="54">
        <f t="shared" si="0"/>
        <v>43710</v>
      </c>
      <c r="J8" s="48" t="s">
        <v>162</v>
      </c>
    </row>
    <row r="9" spans="2:10" x14ac:dyDescent="0.25">
      <c r="B9" s="47" t="s">
        <v>151</v>
      </c>
      <c r="H9" s="50">
        <v>43752</v>
      </c>
      <c r="I9" s="54">
        <f t="shared" si="0"/>
        <v>43752</v>
      </c>
      <c r="J9" s="48" t="s">
        <v>163</v>
      </c>
    </row>
    <row r="10" spans="2:10" x14ac:dyDescent="0.25">
      <c r="H10" s="50">
        <v>43780</v>
      </c>
      <c r="I10" s="54">
        <f t="shared" si="0"/>
        <v>43780</v>
      </c>
      <c r="J10" s="48" t="s">
        <v>164</v>
      </c>
    </row>
    <row r="11" spans="2:10" x14ac:dyDescent="0.25">
      <c r="H11" s="50">
        <v>43797</v>
      </c>
      <c r="I11" s="54">
        <f t="shared" si="0"/>
        <v>43797</v>
      </c>
      <c r="J11" s="48" t="s">
        <v>165</v>
      </c>
    </row>
    <row r="12" spans="2:10" x14ac:dyDescent="0.25">
      <c r="H12" s="50">
        <v>43824</v>
      </c>
      <c r="I12" s="54">
        <f t="shared" si="0"/>
        <v>43824</v>
      </c>
      <c r="J12" s="48" t="s">
        <v>166</v>
      </c>
    </row>
    <row r="13" spans="2:10" x14ac:dyDescent="0.25">
      <c r="H13" s="51">
        <v>43831</v>
      </c>
      <c r="I13" s="55">
        <f t="shared" si="0"/>
        <v>43831</v>
      </c>
      <c r="J13" s="49" t="s">
        <v>157</v>
      </c>
    </row>
    <row r="14" spans="2:10" x14ac:dyDescent="0.25">
      <c r="H14" s="51">
        <v>43850</v>
      </c>
      <c r="I14" s="55">
        <f t="shared" si="0"/>
        <v>43850</v>
      </c>
      <c r="J14" s="49" t="s">
        <v>158</v>
      </c>
    </row>
    <row r="15" spans="2:10" x14ac:dyDescent="0.25">
      <c r="H15" s="51">
        <v>43878</v>
      </c>
      <c r="I15" s="55">
        <f t="shared" si="0"/>
        <v>43878</v>
      </c>
      <c r="J15" s="49" t="s">
        <v>159</v>
      </c>
    </row>
    <row r="16" spans="2:10" x14ac:dyDescent="0.25">
      <c r="H16" s="51">
        <v>43976</v>
      </c>
      <c r="I16" s="55">
        <f t="shared" si="0"/>
        <v>43976</v>
      </c>
      <c r="J16" s="49" t="s">
        <v>160</v>
      </c>
    </row>
    <row r="17" spans="8:10" x14ac:dyDescent="0.25">
      <c r="H17" s="51">
        <v>44015</v>
      </c>
      <c r="I17" s="55">
        <f t="shared" si="0"/>
        <v>44015</v>
      </c>
      <c r="J17" s="49" t="s">
        <v>161</v>
      </c>
    </row>
    <row r="18" spans="8:10" x14ac:dyDescent="0.25">
      <c r="H18" s="51">
        <v>44081</v>
      </c>
      <c r="I18" s="55">
        <f t="shared" si="0"/>
        <v>44081</v>
      </c>
      <c r="J18" s="49" t="s">
        <v>162</v>
      </c>
    </row>
    <row r="19" spans="8:10" x14ac:dyDescent="0.25">
      <c r="H19" s="51">
        <v>44116</v>
      </c>
      <c r="I19" s="55">
        <f t="shared" si="0"/>
        <v>44116</v>
      </c>
      <c r="J19" s="49" t="s">
        <v>163</v>
      </c>
    </row>
    <row r="20" spans="8:10" x14ac:dyDescent="0.25">
      <c r="H20" s="51">
        <v>44146</v>
      </c>
      <c r="I20" s="55">
        <f t="shared" si="0"/>
        <v>44146</v>
      </c>
      <c r="J20" s="49" t="s">
        <v>164</v>
      </c>
    </row>
    <row r="21" spans="8:10" x14ac:dyDescent="0.25">
      <c r="H21" s="51">
        <v>44161</v>
      </c>
      <c r="I21" s="55">
        <f t="shared" si="0"/>
        <v>44161</v>
      </c>
      <c r="J21" s="49" t="s">
        <v>165</v>
      </c>
    </row>
    <row r="22" spans="8:10" x14ac:dyDescent="0.25">
      <c r="H22" s="51">
        <v>44190</v>
      </c>
      <c r="I22" s="55">
        <f t="shared" ref="I22" si="1">H22</f>
        <v>44190</v>
      </c>
      <c r="J22" s="49" t="s">
        <v>166</v>
      </c>
    </row>
    <row r="23" spans="8:10" x14ac:dyDescent="0.25">
      <c r="H23" s="50">
        <v>44197</v>
      </c>
      <c r="I23" s="54">
        <f t="shared" ref="I23:I31" si="2">H23</f>
        <v>44197</v>
      </c>
      <c r="J23" s="48" t="s">
        <v>157</v>
      </c>
    </row>
    <row r="24" spans="8:10" x14ac:dyDescent="0.25">
      <c r="H24" s="50">
        <v>44214</v>
      </c>
      <c r="I24" s="54">
        <f t="shared" si="2"/>
        <v>44214</v>
      </c>
      <c r="J24" s="48" t="s">
        <v>158</v>
      </c>
    </row>
    <row r="25" spans="8:10" x14ac:dyDescent="0.25">
      <c r="H25" s="50">
        <v>44242</v>
      </c>
      <c r="I25" s="54">
        <f t="shared" si="2"/>
        <v>44242</v>
      </c>
      <c r="J25" s="48" t="s">
        <v>159</v>
      </c>
    </row>
    <row r="26" spans="8:10" x14ac:dyDescent="0.25">
      <c r="H26" s="50">
        <v>44347</v>
      </c>
      <c r="I26" s="54">
        <f t="shared" si="2"/>
        <v>44347</v>
      </c>
      <c r="J26" s="48" t="s">
        <v>160</v>
      </c>
    </row>
    <row r="27" spans="8:10" x14ac:dyDescent="0.25">
      <c r="H27" s="50">
        <v>44381</v>
      </c>
      <c r="I27" s="54">
        <f t="shared" si="2"/>
        <v>44381</v>
      </c>
      <c r="J27" s="48" t="s">
        <v>161</v>
      </c>
    </row>
    <row r="28" spans="8:10" x14ac:dyDescent="0.25">
      <c r="H28" s="50">
        <v>44445</v>
      </c>
      <c r="I28" s="54">
        <f t="shared" si="2"/>
        <v>44445</v>
      </c>
      <c r="J28" s="48" t="s">
        <v>162</v>
      </c>
    </row>
    <row r="29" spans="8:10" x14ac:dyDescent="0.25">
      <c r="H29" s="50">
        <v>44480</v>
      </c>
      <c r="I29" s="54">
        <f t="shared" si="2"/>
        <v>44480</v>
      </c>
      <c r="J29" s="48" t="s">
        <v>163</v>
      </c>
    </row>
    <row r="30" spans="8:10" x14ac:dyDescent="0.25">
      <c r="H30" s="50">
        <v>44511</v>
      </c>
      <c r="I30" s="54">
        <f t="shared" si="2"/>
        <v>44511</v>
      </c>
      <c r="J30" s="48" t="s">
        <v>164</v>
      </c>
    </row>
    <row r="31" spans="8:10" x14ac:dyDescent="0.25">
      <c r="H31" s="50">
        <v>44525</v>
      </c>
      <c r="I31" s="54">
        <f t="shared" si="2"/>
        <v>44525</v>
      </c>
      <c r="J31" s="48" t="s">
        <v>165</v>
      </c>
    </row>
    <row r="32" spans="8:10" x14ac:dyDescent="0.25">
      <c r="H32" s="50">
        <v>44555</v>
      </c>
      <c r="I32" s="54">
        <f t="shared" ref="I32" si="3">H32</f>
        <v>44555</v>
      </c>
      <c r="J32" s="48" t="s">
        <v>166</v>
      </c>
    </row>
    <row r="33" spans="8:10" x14ac:dyDescent="0.25">
      <c r="H33" s="51">
        <v>44562</v>
      </c>
      <c r="I33" s="55">
        <f t="shared" ref="I33:I36" si="4">H33</f>
        <v>44562</v>
      </c>
      <c r="J33" s="49" t="s">
        <v>157</v>
      </c>
    </row>
    <row r="34" spans="8:10" x14ac:dyDescent="0.25">
      <c r="H34" s="51">
        <v>44578</v>
      </c>
      <c r="I34" s="55">
        <f t="shared" si="4"/>
        <v>44578</v>
      </c>
      <c r="J34" s="49" t="s">
        <v>158</v>
      </c>
    </row>
    <row r="35" spans="8:10" x14ac:dyDescent="0.25">
      <c r="H35" s="51">
        <v>44613</v>
      </c>
      <c r="I35" s="55">
        <f t="shared" si="4"/>
        <v>44613</v>
      </c>
      <c r="J35" s="49" t="s">
        <v>159</v>
      </c>
    </row>
    <row r="36" spans="8:10" x14ac:dyDescent="0.25">
      <c r="H36" s="51">
        <v>44711</v>
      </c>
      <c r="I36" s="55">
        <f t="shared" si="4"/>
        <v>44711</v>
      </c>
      <c r="J36" s="49" t="s">
        <v>160</v>
      </c>
    </row>
    <row r="37" spans="8:10" x14ac:dyDescent="0.25">
      <c r="H37" s="51">
        <v>44746</v>
      </c>
      <c r="I37" s="55">
        <f t="shared" ref="I37:I39" si="5">H37</f>
        <v>44746</v>
      </c>
      <c r="J37" s="49" t="s">
        <v>161</v>
      </c>
    </row>
    <row r="38" spans="8:10" x14ac:dyDescent="0.25">
      <c r="H38" s="51">
        <v>44809</v>
      </c>
      <c r="I38" s="55">
        <f t="shared" si="5"/>
        <v>44809</v>
      </c>
      <c r="J38" s="49" t="s">
        <v>162</v>
      </c>
    </row>
    <row r="39" spans="8:10" x14ac:dyDescent="0.25">
      <c r="H39" s="51">
        <v>44844</v>
      </c>
      <c r="I39" s="55">
        <f t="shared" si="5"/>
        <v>44844</v>
      </c>
      <c r="J39" s="49" t="s">
        <v>163</v>
      </c>
    </row>
    <row r="40" spans="8:10" x14ac:dyDescent="0.25">
      <c r="H40" s="51">
        <v>44876</v>
      </c>
      <c r="I40" s="55">
        <f t="shared" ref="I40:I41" si="6">H40</f>
        <v>44876</v>
      </c>
      <c r="J40" s="49" t="s">
        <v>164</v>
      </c>
    </row>
    <row r="41" spans="8:10" x14ac:dyDescent="0.25">
      <c r="H41" s="51">
        <v>44889</v>
      </c>
      <c r="I41" s="55">
        <f t="shared" si="6"/>
        <v>44889</v>
      </c>
      <c r="J41" s="49" t="s">
        <v>165</v>
      </c>
    </row>
    <row r="42" spans="8:10" x14ac:dyDescent="0.25">
      <c r="H42" s="51">
        <v>44920</v>
      </c>
      <c r="I42" s="55">
        <f t="shared" ref="I42" si="7">H42</f>
        <v>44920</v>
      </c>
      <c r="J42" s="49" t="s">
        <v>166</v>
      </c>
    </row>
    <row r="43" spans="8:10" x14ac:dyDescent="0.25">
      <c r="H43" s="50">
        <v>44927</v>
      </c>
      <c r="I43" s="54">
        <f t="shared" ref="I43:I51" si="8">H43</f>
        <v>44927</v>
      </c>
      <c r="J43" s="48" t="s">
        <v>157</v>
      </c>
    </row>
    <row r="44" spans="8:10" x14ac:dyDescent="0.25">
      <c r="H44" s="50">
        <v>44942</v>
      </c>
      <c r="I44" s="54">
        <f t="shared" si="8"/>
        <v>44942</v>
      </c>
      <c r="J44" s="48" t="s">
        <v>158</v>
      </c>
    </row>
    <row r="45" spans="8:10" x14ac:dyDescent="0.25">
      <c r="H45" s="50">
        <v>44977</v>
      </c>
      <c r="I45" s="54">
        <f t="shared" si="8"/>
        <v>44977</v>
      </c>
      <c r="J45" s="48" t="s">
        <v>159</v>
      </c>
    </row>
    <row r="46" spans="8:10" x14ac:dyDescent="0.25">
      <c r="H46" s="50">
        <v>45075</v>
      </c>
      <c r="I46" s="54">
        <f t="shared" si="8"/>
        <v>45075</v>
      </c>
      <c r="J46" s="48" t="s">
        <v>160</v>
      </c>
    </row>
    <row r="47" spans="8:10" x14ac:dyDescent="0.25">
      <c r="H47" s="50">
        <v>45111</v>
      </c>
      <c r="I47" s="54">
        <f t="shared" si="8"/>
        <v>45111</v>
      </c>
      <c r="J47" s="48" t="s">
        <v>161</v>
      </c>
    </row>
    <row r="48" spans="8:10" x14ac:dyDescent="0.25">
      <c r="H48" s="50">
        <v>45173</v>
      </c>
      <c r="I48" s="54">
        <f t="shared" si="8"/>
        <v>45173</v>
      </c>
      <c r="J48" s="48" t="s">
        <v>162</v>
      </c>
    </row>
    <row r="49" spans="8:10" x14ac:dyDescent="0.25">
      <c r="H49" s="50">
        <v>45208</v>
      </c>
      <c r="I49" s="54">
        <f t="shared" si="8"/>
        <v>45208</v>
      </c>
      <c r="J49" s="48" t="s">
        <v>163</v>
      </c>
    </row>
    <row r="50" spans="8:10" x14ac:dyDescent="0.25">
      <c r="H50" s="50">
        <v>45240</v>
      </c>
      <c r="I50" s="54">
        <f t="shared" si="8"/>
        <v>45240</v>
      </c>
      <c r="J50" s="48" t="s">
        <v>164</v>
      </c>
    </row>
    <row r="51" spans="8:10" x14ac:dyDescent="0.25">
      <c r="H51" s="50">
        <v>45253</v>
      </c>
      <c r="I51" s="54">
        <f t="shared" si="8"/>
        <v>45253</v>
      </c>
      <c r="J51" s="48" t="s">
        <v>165</v>
      </c>
    </row>
    <row r="52" spans="8:10" x14ac:dyDescent="0.25">
      <c r="H52" s="50">
        <v>45285</v>
      </c>
      <c r="I52" s="54">
        <f t="shared" ref="I52" si="9">H52</f>
        <v>45285</v>
      </c>
      <c r="J52" s="48" t="s">
        <v>166</v>
      </c>
    </row>
    <row r="53" spans="8:10" x14ac:dyDescent="0.25">
      <c r="H53" s="51">
        <v>45292</v>
      </c>
      <c r="I53" s="55">
        <f t="shared" ref="I53:I56" si="10">H53</f>
        <v>45292</v>
      </c>
      <c r="J53" s="49" t="s">
        <v>157</v>
      </c>
    </row>
    <row r="54" spans="8:10" x14ac:dyDescent="0.25">
      <c r="H54" s="51">
        <v>45306</v>
      </c>
      <c r="I54" s="55">
        <f t="shared" si="10"/>
        <v>45306</v>
      </c>
      <c r="J54" s="49" t="s">
        <v>158</v>
      </c>
    </row>
    <row r="55" spans="8:10" x14ac:dyDescent="0.25">
      <c r="H55" s="51">
        <v>45341</v>
      </c>
      <c r="I55" s="55">
        <f t="shared" si="10"/>
        <v>45341</v>
      </c>
      <c r="J55" s="49" t="s">
        <v>159</v>
      </c>
    </row>
    <row r="56" spans="8:10" x14ac:dyDescent="0.25">
      <c r="H56" s="51">
        <v>45439</v>
      </c>
      <c r="I56" s="55">
        <f t="shared" si="10"/>
        <v>45439</v>
      </c>
      <c r="J56" s="49" t="s">
        <v>160</v>
      </c>
    </row>
    <row r="57" spans="8:10" x14ac:dyDescent="0.25">
      <c r="H57" s="51">
        <v>45477</v>
      </c>
      <c r="I57" s="55">
        <f t="shared" ref="I57:I58" si="11">H57</f>
        <v>45477</v>
      </c>
      <c r="J57" s="49" t="s">
        <v>161</v>
      </c>
    </row>
    <row r="58" spans="8:10" x14ac:dyDescent="0.25">
      <c r="H58" s="51">
        <v>45537</v>
      </c>
      <c r="I58" s="55">
        <f t="shared" si="11"/>
        <v>45537</v>
      </c>
      <c r="J58" s="49" t="s">
        <v>162</v>
      </c>
    </row>
    <row r="59" spans="8:10" x14ac:dyDescent="0.25">
      <c r="H59" s="51">
        <v>45579</v>
      </c>
      <c r="I59" s="55">
        <f t="shared" ref="I59:I61" si="12">H59</f>
        <v>45579</v>
      </c>
      <c r="J59" s="49" t="s">
        <v>163</v>
      </c>
    </row>
    <row r="60" spans="8:10" x14ac:dyDescent="0.25">
      <c r="H60" s="51">
        <v>45607</v>
      </c>
      <c r="I60" s="55">
        <f t="shared" si="12"/>
        <v>45607</v>
      </c>
      <c r="J60" s="49" t="s">
        <v>164</v>
      </c>
    </row>
    <row r="61" spans="8:10" x14ac:dyDescent="0.25">
      <c r="H61" s="51">
        <v>45624</v>
      </c>
      <c r="I61" s="55">
        <f t="shared" si="12"/>
        <v>45624</v>
      </c>
      <c r="J61" s="49" t="s">
        <v>165</v>
      </c>
    </row>
    <row r="62" spans="8:10" x14ac:dyDescent="0.25">
      <c r="H62" s="51">
        <v>45651</v>
      </c>
      <c r="I62" s="55">
        <f t="shared" ref="I62:I71" si="13">H62</f>
        <v>45651</v>
      </c>
      <c r="J62" s="49" t="s">
        <v>166</v>
      </c>
    </row>
    <row r="63" spans="8:10" x14ac:dyDescent="0.25">
      <c r="H63" s="50">
        <v>45658</v>
      </c>
      <c r="I63" s="54">
        <f t="shared" si="13"/>
        <v>45658</v>
      </c>
      <c r="J63" s="48" t="s">
        <v>157</v>
      </c>
    </row>
    <row r="64" spans="8:10" x14ac:dyDescent="0.25">
      <c r="H64" s="50">
        <v>45677</v>
      </c>
      <c r="I64" s="54">
        <f t="shared" si="13"/>
        <v>45677</v>
      </c>
      <c r="J64" s="48" t="s">
        <v>158</v>
      </c>
    </row>
    <row r="65" spans="8:10" x14ac:dyDescent="0.25">
      <c r="H65" s="50">
        <v>45705</v>
      </c>
      <c r="I65" s="54">
        <f t="shared" si="13"/>
        <v>45705</v>
      </c>
      <c r="J65" s="48" t="s">
        <v>159</v>
      </c>
    </row>
    <row r="66" spans="8:10" x14ac:dyDescent="0.25">
      <c r="H66" s="50">
        <v>45803</v>
      </c>
      <c r="I66" s="54">
        <f t="shared" si="13"/>
        <v>45803</v>
      </c>
      <c r="J66" s="48" t="s">
        <v>160</v>
      </c>
    </row>
    <row r="67" spans="8:10" x14ac:dyDescent="0.25">
      <c r="H67" s="50">
        <v>45842</v>
      </c>
      <c r="I67" s="54">
        <f t="shared" si="13"/>
        <v>45842</v>
      </c>
      <c r="J67" s="48" t="s">
        <v>161</v>
      </c>
    </row>
    <row r="68" spans="8:10" x14ac:dyDescent="0.25">
      <c r="H68" s="50">
        <v>45901</v>
      </c>
      <c r="I68" s="54">
        <f t="shared" si="13"/>
        <v>45901</v>
      </c>
      <c r="J68" s="48" t="s">
        <v>162</v>
      </c>
    </row>
    <row r="69" spans="8:10" x14ac:dyDescent="0.25">
      <c r="H69" s="50">
        <v>45943</v>
      </c>
      <c r="I69" s="54">
        <f t="shared" si="13"/>
        <v>45943</v>
      </c>
      <c r="J69" s="48" t="s">
        <v>163</v>
      </c>
    </row>
    <row r="70" spans="8:10" x14ac:dyDescent="0.25">
      <c r="H70" s="50">
        <v>45972</v>
      </c>
      <c r="I70" s="54">
        <f t="shared" si="13"/>
        <v>45972</v>
      </c>
      <c r="J70" s="48" t="s">
        <v>164</v>
      </c>
    </row>
    <row r="71" spans="8:10" x14ac:dyDescent="0.25">
      <c r="H71" s="50">
        <v>45988</v>
      </c>
      <c r="I71" s="54">
        <f t="shared" si="13"/>
        <v>45988</v>
      </c>
      <c r="J71" s="48" t="s">
        <v>165</v>
      </c>
    </row>
    <row r="72" spans="8:10" x14ac:dyDescent="0.25">
      <c r="H72" s="50">
        <v>46016</v>
      </c>
      <c r="I72" s="54">
        <f t="shared" ref="I72" si="14">H72</f>
        <v>46016</v>
      </c>
      <c r="J72" s="48" t="s">
        <v>166</v>
      </c>
    </row>
    <row r="73" spans="8:10" x14ac:dyDescent="0.25">
      <c r="H73" s="51">
        <v>46023</v>
      </c>
      <c r="I73" s="55">
        <f t="shared" ref="I73:I76" si="15">H73</f>
        <v>46023</v>
      </c>
      <c r="J73" s="49" t="s">
        <v>157</v>
      </c>
    </row>
    <row r="74" spans="8:10" x14ac:dyDescent="0.25">
      <c r="H74" s="51">
        <v>46041</v>
      </c>
      <c r="I74" s="55">
        <f t="shared" si="15"/>
        <v>46041</v>
      </c>
      <c r="J74" s="49" t="s">
        <v>158</v>
      </c>
    </row>
    <row r="75" spans="8:10" x14ac:dyDescent="0.25">
      <c r="H75" s="51">
        <v>46069</v>
      </c>
      <c r="I75" s="55">
        <f t="shared" si="15"/>
        <v>46069</v>
      </c>
      <c r="J75" s="49" t="s">
        <v>159</v>
      </c>
    </row>
    <row r="76" spans="8:10" x14ac:dyDescent="0.25">
      <c r="H76" s="51">
        <v>46167</v>
      </c>
      <c r="I76" s="55">
        <f t="shared" si="15"/>
        <v>46167</v>
      </c>
      <c r="J76" s="49" t="s">
        <v>160</v>
      </c>
    </row>
    <row r="77" spans="8:10" x14ac:dyDescent="0.25">
      <c r="H77" s="51">
        <v>46207</v>
      </c>
      <c r="I77" s="55">
        <f t="shared" ref="I77:I79" si="16">H77</f>
        <v>46207</v>
      </c>
      <c r="J77" s="49" t="s">
        <v>161</v>
      </c>
    </row>
    <row r="78" spans="8:10" x14ac:dyDescent="0.25">
      <c r="H78" s="51">
        <v>46272</v>
      </c>
      <c r="I78" s="55">
        <f t="shared" si="16"/>
        <v>46272</v>
      </c>
      <c r="J78" s="49" t="s">
        <v>162</v>
      </c>
    </row>
    <row r="79" spans="8:10" x14ac:dyDescent="0.25">
      <c r="H79" s="51">
        <v>46307</v>
      </c>
      <c r="I79" s="55">
        <f t="shared" si="16"/>
        <v>46307</v>
      </c>
      <c r="J79" s="49" t="s">
        <v>163</v>
      </c>
    </row>
    <row r="80" spans="8:10" x14ac:dyDescent="0.25">
      <c r="H80" s="51">
        <v>46337</v>
      </c>
      <c r="I80" s="55">
        <f t="shared" ref="I80:I81" si="17">H80</f>
        <v>46337</v>
      </c>
      <c r="J80" s="49" t="s">
        <v>164</v>
      </c>
    </row>
    <row r="81" spans="8:10" x14ac:dyDescent="0.25">
      <c r="H81" s="51">
        <v>46352</v>
      </c>
      <c r="I81" s="55">
        <f t="shared" si="17"/>
        <v>46352</v>
      </c>
      <c r="J81" s="49" t="s">
        <v>165</v>
      </c>
    </row>
    <row r="82" spans="8:10" x14ac:dyDescent="0.25">
      <c r="H82" s="51">
        <v>46381</v>
      </c>
      <c r="I82" s="55">
        <f t="shared" ref="I82" si="18">H82</f>
        <v>46381</v>
      </c>
      <c r="J82" s="49" t="s">
        <v>166</v>
      </c>
    </row>
  </sheetData>
  <dataValidations disablePrompts="1" count="1">
    <dataValidation type="list" allowBlank="1" showInputMessage="1" showErrorMessage="1" sqref="D2">
      <formula1>"CD, BD"</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3"/>
  <sheetViews>
    <sheetView workbookViewId="0">
      <selection activeCell="E11" sqref="E11"/>
    </sheetView>
  </sheetViews>
  <sheetFormatPr defaultRowHeight="15" x14ac:dyDescent="0.25"/>
  <sheetData>
    <row r="1" spans="1:25" x14ac:dyDescent="0.25">
      <c r="A1" s="5" t="s">
        <v>23</v>
      </c>
    </row>
    <row r="2" spans="1:25" x14ac:dyDescent="0.25">
      <c r="A2" s="4">
        <v>1</v>
      </c>
      <c r="B2" s="4">
        <v>2</v>
      </c>
      <c r="C2" s="4">
        <v>3</v>
      </c>
      <c r="D2" s="4">
        <v>4</v>
      </c>
      <c r="E2" s="4">
        <v>5</v>
      </c>
      <c r="F2" s="4">
        <v>6</v>
      </c>
      <c r="G2" s="4">
        <v>7</v>
      </c>
      <c r="H2" s="4">
        <v>8</v>
      </c>
      <c r="I2" s="4">
        <v>9</v>
      </c>
      <c r="J2" s="4">
        <v>10</v>
      </c>
      <c r="K2" s="4">
        <v>11</v>
      </c>
      <c r="L2" s="4">
        <v>12</v>
      </c>
      <c r="M2" s="4">
        <v>13</v>
      </c>
      <c r="N2" s="4">
        <v>14</v>
      </c>
      <c r="O2" s="4">
        <v>15</v>
      </c>
      <c r="P2" s="4">
        <v>16</v>
      </c>
      <c r="Q2" s="4">
        <v>17</v>
      </c>
      <c r="R2" s="4">
        <v>18</v>
      </c>
      <c r="S2" s="4">
        <v>19</v>
      </c>
      <c r="T2" s="4">
        <v>20</v>
      </c>
      <c r="U2" s="4">
        <v>21</v>
      </c>
      <c r="V2" s="4">
        <v>22</v>
      </c>
      <c r="W2" s="4">
        <v>23</v>
      </c>
      <c r="X2" s="4">
        <v>24</v>
      </c>
      <c r="Y2" s="4">
        <v>25</v>
      </c>
    </row>
    <row r="3" spans="1:25" x14ac:dyDescent="0.25">
      <c r="A3" s="1">
        <v>5</v>
      </c>
      <c r="B3" s="1">
        <v>6.5</v>
      </c>
      <c r="C3" s="1">
        <v>8</v>
      </c>
      <c r="D3" s="1">
        <v>35</v>
      </c>
      <c r="E3" s="1">
        <v>21.8</v>
      </c>
      <c r="F3" s="1">
        <v>15</v>
      </c>
      <c r="G3" s="1">
        <v>19</v>
      </c>
      <c r="H3" s="1">
        <v>12</v>
      </c>
      <c r="I3" s="1">
        <v>12</v>
      </c>
      <c r="J3" s="1">
        <v>15</v>
      </c>
      <c r="K3" s="1">
        <v>12</v>
      </c>
      <c r="L3" s="1">
        <v>10</v>
      </c>
      <c r="M3" s="1">
        <v>15</v>
      </c>
      <c r="N3" s="1">
        <v>12</v>
      </c>
      <c r="O3" s="1">
        <v>15</v>
      </c>
      <c r="P3" s="1">
        <v>12</v>
      </c>
      <c r="Q3" s="1">
        <v>10</v>
      </c>
      <c r="R3" s="1">
        <v>12</v>
      </c>
      <c r="S3" s="1">
        <v>15.5</v>
      </c>
      <c r="T3" s="1">
        <v>12</v>
      </c>
      <c r="U3" s="1">
        <v>15</v>
      </c>
      <c r="V3" s="1">
        <v>10</v>
      </c>
      <c r="W3" s="1">
        <v>11.57</v>
      </c>
      <c r="X3" s="1">
        <v>19</v>
      </c>
      <c r="Y3" s="1">
        <v>10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31"/>
  <sheetViews>
    <sheetView topLeftCell="A7" workbookViewId="0">
      <selection activeCell="N19" sqref="N19"/>
    </sheetView>
  </sheetViews>
  <sheetFormatPr defaultRowHeight="15" x14ac:dyDescent="0.25"/>
  <cols>
    <col min="1" max="1" width="5.85546875" customWidth="1"/>
    <col min="2" max="2" width="5.140625" customWidth="1"/>
    <col min="3" max="3" width="5.7109375" customWidth="1"/>
  </cols>
  <sheetData>
    <row r="1" spans="1:4" s="65" customFormat="1" ht="26.1" customHeight="1" x14ac:dyDescent="0.25">
      <c r="A1" s="122" t="s">
        <v>286</v>
      </c>
    </row>
    <row r="2" spans="1:4" ht="15.75" x14ac:dyDescent="0.25">
      <c r="A2" s="121"/>
      <c r="B2" s="5" t="s">
        <v>284</v>
      </c>
    </row>
    <row r="3" spans="1:4" x14ac:dyDescent="0.25">
      <c r="A3" s="5"/>
      <c r="C3" s="119" t="s">
        <v>285</v>
      </c>
    </row>
    <row r="4" spans="1:4" x14ac:dyDescent="0.25">
      <c r="A4" s="5"/>
      <c r="C4" s="119" t="s">
        <v>287</v>
      </c>
    </row>
    <row r="5" spans="1:4" x14ac:dyDescent="0.25">
      <c r="A5" s="5"/>
    </row>
    <row r="6" spans="1:4" x14ac:dyDescent="0.25">
      <c r="A6" s="5"/>
      <c r="B6" s="123" t="s">
        <v>293</v>
      </c>
    </row>
    <row r="7" spans="1:4" x14ac:dyDescent="0.25">
      <c r="C7" s="119" t="s">
        <v>280</v>
      </c>
    </row>
    <row r="8" spans="1:4" x14ac:dyDescent="0.25">
      <c r="C8" s="119" t="s">
        <v>288</v>
      </c>
    </row>
    <row r="9" spans="1:4" x14ac:dyDescent="0.25">
      <c r="C9" s="119" t="s">
        <v>289</v>
      </c>
    </row>
    <row r="10" spans="1:4" x14ac:dyDescent="0.25">
      <c r="D10" s="120" t="s">
        <v>296</v>
      </c>
    </row>
    <row r="11" spans="1:4" x14ac:dyDescent="0.25">
      <c r="D11" s="120" t="s">
        <v>281</v>
      </c>
    </row>
    <row r="12" spans="1:4" x14ac:dyDescent="0.25">
      <c r="C12" s="119" t="s">
        <v>290</v>
      </c>
      <c r="D12" s="119"/>
    </row>
    <row r="13" spans="1:4" x14ac:dyDescent="0.25">
      <c r="C13" s="119" t="s">
        <v>291</v>
      </c>
    </row>
    <row r="14" spans="1:4" x14ac:dyDescent="0.25">
      <c r="D14" s="119" t="s">
        <v>282</v>
      </c>
    </row>
    <row r="15" spans="1:4" x14ac:dyDescent="0.25">
      <c r="D15" s="119" t="s">
        <v>295</v>
      </c>
    </row>
    <row r="27" spans="2:3" x14ac:dyDescent="0.25">
      <c r="C27" s="119" t="s">
        <v>283</v>
      </c>
    </row>
    <row r="28" spans="2:3" x14ac:dyDescent="0.25">
      <c r="C28" s="119" t="s">
        <v>297</v>
      </c>
    </row>
    <row r="30" spans="2:3" x14ac:dyDescent="0.25">
      <c r="B30" s="123" t="s">
        <v>294</v>
      </c>
    </row>
    <row r="31" spans="2:3" x14ac:dyDescent="0.25">
      <c r="C31" s="119" t="s">
        <v>292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28"/>
  <sheetViews>
    <sheetView workbookViewId="0">
      <selection activeCell="A14" sqref="A14"/>
    </sheetView>
  </sheetViews>
  <sheetFormatPr defaultRowHeight="15" x14ac:dyDescent="0.25"/>
  <cols>
    <col min="1" max="1" width="22.7109375" customWidth="1"/>
    <col min="2" max="2" width="50.85546875" customWidth="1"/>
    <col min="3" max="3" width="27.140625" customWidth="1"/>
    <col min="4" max="4" width="54.5703125" customWidth="1"/>
  </cols>
  <sheetData>
    <row r="1" spans="1:4" x14ac:dyDescent="0.25">
      <c r="A1" s="5" t="s">
        <v>167</v>
      </c>
      <c r="B1" t="s">
        <v>301</v>
      </c>
    </row>
    <row r="2" spans="1:4" x14ac:dyDescent="0.25">
      <c r="A2" s="5" t="s">
        <v>168</v>
      </c>
      <c r="B2" s="56" t="s">
        <v>169</v>
      </c>
    </row>
    <row r="4" spans="1:4" x14ac:dyDescent="0.25">
      <c r="A4" s="58" t="s">
        <v>170</v>
      </c>
      <c r="B4" s="58" t="s">
        <v>171</v>
      </c>
      <c r="C4" s="58" t="s">
        <v>172</v>
      </c>
      <c r="D4" s="58" t="s">
        <v>173</v>
      </c>
    </row>
    <row r="5" spans="1:4" x14ac:dyDescent="0.25">
      <c r="A5" s="30" t="s">
        <v>299</v>
      </c>
      <c r="B5" s="30" t="s">
        <v>300</v>
      </c>
      <c r="C5" s="30" t="s">
        <v>267</v>
      </c>
      <c r="D5" s="30" t="s">
        <v>298</v>
      </c>
    </row>
    <row r="6" spans="1:4" x14ac:dyDescent="0.25">
      <c r="A6" s="30" t="s">
        <v>302</v>
      </c>
      <c r="B6" s="30" t="s">
        <v>300</v>
      </c>
      <c r="C6" s="30" t="s">
        <v>267</v>
      </c>
      <c r="D6" s="30" t="s">
        <v>301</v>
      </c>
    </row>
    <row r="7" spans="1:4" x14ac:dyDescent="0.25">
      <c r="A7" s="30" t="s">
        <v>315</v>
      </c>
      <c r="B7" s="30" t="s">
        <v>300</v>
      </c>
      <c r="C7" s="30" t="s">
        <v>267</v>
      </c>
      <c r="D7" s="30" t="s">
        <v>301</v>
      </c>
    </row>
    <row r="8" spans="1:4" x14ac:dyDescent="0.25">
      <c r="A8" s="30" t="s">
        <v>323</v>
      </c>
      <c r="B8" s="30" t="s">
        <v>300</v>
      </c>
      <c r="C8" s="30" t="s">
        <v>267</v>
      </c>
      <c r="D8" s="30" t="s">
        <v>301</v>
      </c>
    </row>
    <row r="9" spans="1:4" x14ac:dyDescent="0.25">
      <c r="A9" s="30"/>
      <c r="B9" s="30"/>
      <c r="C9" s="30"/>
      <c r="D9" s="30"/>
    </row>
    <row r="10" spans="1:4" x14ac:dyDescent="0.25">
      <c r="A10" s="30"/>
      <c r="B10" s="30"/>
      <c r="C10" s="30"/>
      <c r="D10" s="30"/>
    </row>
    <row r="11" spans="1:4" x14ac:dyDescent="0.25">
      <c r="A11" s="30"/>
      <c r="B11" s="30"/>
      <c r="C11" s="30"/>
      <c r="D11" s="30"/>
    </row>
    <row r="12" spans="1:4" x14ac:dyDescent="0.25">
      <c r="A12" s="30"/>
      <c r="B12" s="30"/>
      <c r="C12" s="30"/>
      <c r="D12" s="30"/>
    </row>
    <row r="13" spans="1:4" x14ac:dyDescent="0.25">
      <c r="A13" s="30"/>
      <c r="B13" s="30"/>
      <c r="C13" s="30"/>
      <c r="D13" s="30"/>
    </row>
    <row r="14" spans="1:4" x14ac:dyDescent="0.25">
      <c r="A14" s="30"/>
      <c r="B14" s="30"/>
      <c r="C14" s="30"/>
      <c r="D14" s="30"/>
    </row>
    <row r="15" spans="1:4" x14ac:dyDescent="0.25">
      <c r="A15" s="30"/>
      <c r="B15" s="30"/>
      <c r="C15" s="30"/>
      <c r="D15" s="30"/>
    </row>
    <row r="16" spans="1:4" x14ac:dyDescent="0.25">
      <c r="A16" s="30"/>
      <c r="B16" s="30"/>
      <c r="C16" s="30"/>
      <c r="D16" s="30"/>
    </row>
    <row r="17" spans="1:4" x14ac:dyDescent="0.25">
      <c r="A17" s="30"/>
      <c r="B17" s="30"/>
      <c r="C17" s="30"/>
      <c r="D17" s="30"/>
    </row>
    <row r="18" spans="1:4" x14ac:dyDescent="0.25">
      <c r="A18" s="30"/>
      <c r="B18" s="30"/>
      <c r="C18" s="30"/>
      <c r="D18" s="30"/>
    </row>
    <row r="19" spans="1:4" x14ac:dyDescent="0.25">
      <c r="A19" s="30"/>
      <c r="B19" s="30"/>
      <c r="C19" s="30"/>
      <c r="D19" s="30"/>
    </row>
    <row r="20" spans="1:4" x14ac:dyDescent="0.25">
      <c r="A20" s="30"/>
      <c r="B20" s="30"/>
      <c r="C20" s="30"/>
      <c r="D20" s="30"/>
    </row>
    <row r="21" spans="1:4" x14ac:dyDescent="0.25">
      <c r="A21" s="30"/>
      <c r="B21" s="30"/>
      <c r="C21" s="30"/>
      <c r="D21" s="30"/>
    </row>
    <row r="22" spans="1:4" x14ac:dyDescent="0.25">
      <c r="A22" s="30"/>
      <c r="B22" s="30"/>
      <c r="C22" s="30"/>
      <c r="D22" s="30"/>
    </row>
    <row r="23" spans="1:4" x14ac:dyDescent="0.25">
      <c r="A23" s="30"/>
      <c r="B23" s="30"/>
      <c r="C23" s="30"/>
      <c r="D23" s="30"/>
    </row>
    <row r="24" spans="1:4" x14ac:dyDescent="0.25">
      <c r="A24" s="30"/>
      <c r="B24" s="30"/>
      <c r="C24" s="30"/>
      <c r="D24" s="30"/>
    </row>
    <row r="25" spans="1:4" x14ac:dyDescent="0.25">
      <c r="A25" s="30"/>
      <c r="B25" s="30"/>
      <c r="C25" s="30"/>
      <c r="D25" s="30"/>
    </row>
    <row r="26" spans="1:4" x14ac:dyDescent="0.25">
      <c r="A26" s="30"/>
      <c r="B26" s="30"/>
      <c r="C26" s="30"/>
      <c r="D26" s="30"/>
    </row>
    <row r="27" spans="1:4" x14ac:dyDescent="0.25">
      <c r="A27" s="30"/>
      <c r="B27" s="30"/>
      <c r="C27" s="30"/>
      <c r="D27" s="30"/>
    </row>
    <row r="28" spans="1:4" x14ac:dyDescent="0.25">
      <c r="A28" s="30"/>
      <c r="B28" s="30"/>
      <c r="C28" s="30"/>
      <c r="D28" s="30"/>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21"/>
  <sheetViews>
    <sheetView topLeftCell="A5" workbookViewId="0">
      <selection activeCell="D8" sqref="D8"/>
    </sheetView>
  </sheetViews>
  <sheetFormatPr defaultRowHeight="15" x14ac:dyDescent="0.25"/>
  <cols>
    <col min="1" max="1" width="9.28515625" style="60"/>
    <col min="2" max="2" width="14.7109375" customWidth="1"/>
    <col min="3" max="3" width="12.28515625" style="60" customWidth="1"/>
    <col min="4" max="4" width="67.7109375" customWidth="1"/>
  </cols>
  <sheetData>
    <row r="1" spans="1:4" x14ac:dyDescent="0.25">
      <c r="A1" s="59" t="s">
        <v>174</v>
      </c>
      <c r="B1" s="57" t="s">
        <v>175</v>
      </c>
      <c r="C1" s="59" t="s">
        <v>154</v>
      </c>
      <c r="D1" s="57" t="s">
        <v>176</v>
      </c>
    </row>
    <row r="2" spans="1:4" ht="75" x14ac:dyDescent="0.25">
      <c r="A2" s="61" t="s">
        <v>177</v>
      </c>
      <c r="B2" s="61" t="s">
        <v>182</v>
      </c>
      <c r="C2" s="62"/>
      <c r="D2" s="124" t="s">
        <v>183</v>
      </c>
    </row>
    <row r="3" spans="1:4" ht="45" x14ac:dyDescent="0.25">
      <c r="A3" s="61" t="s">
        <v>178</v>
      </c>
      <c r="B3" s="61" t="s">
        <v>182</v>
      </c>
      <c r="C3" s="62"/>
      <c r="D3" s="124" t="s">
        <v>184</v>
      </c>
    </row>
    <row r="4" spans="1:4" ht="180" x14ac:dyDescent="0.25">
      <c r="A4" s="61" t="s">
        <v>179</v>
      </c>
      <c r="B4" s="61" t="s">
        <v>182</v>
      </c>
      <c r="C4" s="62">
        <v>43853</v>
      </c>
      <c r="D4" s="124" t="s">
        <v>185</v>
      </c>
    </row>
    <row r="5" spans="1:4" ht="60" x14ac:dyDescent="0.25">
      <c r="A5" s="61" t="s">
        <v>180</v>
      </c>
      <c r="B5" s="61" t="s">
        <v>182</v>
      </c>
      <c r="C5" s="62">
        <v>43853</v>
      </c>
      <c r="D5" s="125" t="s">
        <v>186</v>
      </c>
    </row>
    <row r="6" spans="1:4" ht="60" x14ac:dyDescent="0.25">
      <c r="A6" s="61" t="s">
        <v>181</v>
      </c>
      <c r="B6" s="61" t="s">
        <v>182</v>
      </c>
      <c r="C6" s="62">
        <v>43867</v>
      </c>
      <c r="D6" s="125" t="s">
        <v>187</v>
      </c>
    </row>
    <row r="7" spans="1:4" ht="30" x14ac:dyDescent="0.25">
      <c r="A7" s="61" t="s">
        <v>181</v>
      </c>
      <c r="B7" s="61" t="s">
        <v>182</v>
      </c>
      <c r="C7" s="62">
        <v>43971</v>
      </c>
      <c r="D7" s="125" t="s">
        <v>188</v>
      </c>
    </row>
    <row r="8" spans="1:4" ht="300" x14ac:dyDescent="0.25">
      <c r="A8" s="61" t="s">
        <v>303</v>
      </c>
      <c r="B8" s="61" t="s">
        <v>304</v>
      </c>
      <c r="C8" s="62">
        <v>43979</v>
      </c>
      <c r="D8" s="125" t="s">
        <v>311</v>
      </c>
    </row>
    <row r="9" spans="1:4" x14ac:dyDescent="0.25">
      <c r="A9" s="61"/>
      <c r="B9" s="61"/>
      <c r="C9" s="62"/>
      <c r="D9" s="125"/>
    </row>
    <row r="10" spans="1:4" x14ac:dyDescent="0.25">
      <c r="A10" s="61"/>
      <c r="B10" s="61"/>
      <c r="C10" s="62"/>
      <c r="D10" s="125"/>
    </row>
    <row r="11" spans="1:4" x14ac:dyDescent="0.25">
      <c r="A11" s="61"/>
      <c r="B11" s="61"/>
      <c r="C11" s="62"/>
      <c r="D11" s="125"/>
    </row>
    <row r="12" spans="1:4" x14ac:dyDescent="0.25">
      <c r="A12" s="61"/>
      <c r="B12" s="61"/>
      <c r="C12" s="62"/>
      <c r="D12" s="125"/>
    </row>
    <row r="13" spans="1:4" x14ac:dyDescent="0.25">
      <c r="A13" s="61"/>
      <c r="B13" s="61"/>
      <c r="C13" s="62"/>
      <c r="D13" s="125"/>
    </row>
    <row r="14" spans="1:4" x14ac:dyDescent="0.25">
      <c r="A14" s="61"/>
      <c r="B14" s="61"/>
      <c r="C14" s="62"/>
      <c r="D14" s="125"/>
    </row>
    <row r="15" spans="1:4" x14ac:dyDescent="0.25">
      <c r="A15" s="61"/>
      <c r="B15" s="61"/>
      <c r="C15" s="62"/>
      <c r="D15" s="125"/>
    </row>
    <row r="16" spans="1:4" x14ac:dyDescent="0.25">
      <c r="A16" s="61"/>
      <c r="B16" s="61"/>
      <c r="C16" s="62"/>
      <c r="D16" s="125"/>
    </row>
    <row r="17" spans="1:4" x14ac:dyDescent="0.25">
      <c r="A17" s="61"/>
      <c r="B17" s="61"/>
      <c r="C17" s="62"/>
      <c r="D17" s="125"/>
    </row>
    <row r="18" spans="1:4" x14ac:dyDescent="0.25">
      <c r="A18" s="61"/>
      <c r="B18" s="61"/>
      <c r="C18" s="62"/>
      <c r="D18" s="125"/>
    </row>
    <row r="19" spans="1:4" x14ac:dyDescent="0.25">
      <c r="A19" s="61"/>
      <c r="B19" s="61"/>
      <c r="C19" s="62"/>
      <c r="D19" s="125"/>
    </row>
    <row r="20" spans="1:4" x14ac:dyDescent="0.25">
      <c r="A20" s="61"/>
      <c r="B20" s="61"/>
      <c r="C20" s="62"/>
      <c r="D20" s="125"/>
    </row>
    <row r="21" spans="1:4" x14ac:dyDescent="0.25">
      <c r="D21" s="126"/>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D50"/>
  <sheetViews>
    <sheetView workbookViewId="0">
      <selection activeCell="G11" sqref="G11"/>
    </sheetView>
  </sheetViews>
  <sheetFormatPr defaultRowHeight="15" x14ac:dyDescent="0.25"/>
  <cols>
    <col min="2" max="2" width="41.140625" customWidth="1"/>
    <col min="3" max="3" width="38" style="8" customWidth="1"/>
    <col min="4" max="4" width="52.140625" style="8" customWidth="1"/>
  </cols>
  <sheetData>
    <row r="1" spans="1:4" x14ac:dyDescent="0.25">
      <c r="A1" s="15" t="s">
        <v>63</v>
      </c>
      <c r="B1" s="15" t="s">
        <v>57</v>
      </c>
      <c r="C1" s="16" t="s">
        <v>58</v>
      </c>
      <c r="D1" s="16" t="s">
        <v>59</v>
      </c>
    </row>
    <row r="2" spans="1:4" ht="75" x14ac:dyDescent="0.25">
      <c r="A2" s="18">
        <v>1</v>
      </c>
      <c r="B2" s="19" t="s">
        <v>60</v>
      </c>
      <c r="C2" s="20" t="s">
        <v>61</v>
      </c>
      <c r="D2" s="20" t="s">
        <v>62</v>
      </c>
    </row>
    <row r="3" spans="1:4" ht="30" x14ac:dyDescent="0.25">
      <c r="A3" s="18">
        <v>2</v>
      </c>
      <c r="B3" s="19" t="s">
        <v>66</v>
      </c>
      <c r="C3" s="20" t="s">
        <v>64</v>
      </c>
      <c r="D3" s="20" t="s">
        <v>65</v>
      </c>
    </row>
    <row r="4" spans="1:4" ht="120" x14ac:dyDescent="0.25">
      <c r="A4" s="18">
        <v>3</v>
      </c>
      <c r="B4" s="20" t="s">
        <v>277</v>
      </c>
      <c r="C4" s="20" t="s">
        <v>278</v>
      </c>
      <c r="D4" s="20" t="s">
        <v>279</v>
      </c>
    </row>
    <row r="5" spans="1:4" ht="60" x14ac:dyDescent="0.25">
      <c r="A5" s="18">
        <v>4</v>
      </c>
      <c r="B5" s="20" t="s">
        <v>307</v>
      </c>
      <c r="C5" s="20"/>
      <c r="D5" s="20" t="s">
        <v>306</v>
      </c>
    </row>
    <row r="6" spans="1:4" ht="60" x14ac:dyDescent="0.25">
      <c r="A6" s="18">
        <v>5</v>
      </c>
      <c r="B6" s="20" t="s">
        <v>313</v>
      </c>
      <c r="C6" s="20"/>
      <c r="D6" s="20" t="s">
        <v>312</v>
      </c>
    </row>
    <row r="7" spans="1:4" ht="45" x14ac:dyDescent="0.25">
      <c r="A7" s="18">
        <v>6</v>
      </c>
      <c r="B7" s="20" t="s">
        <v>314</v>
      </c>
      <c r="C7" s="20"/>
      <c r="D7" s="20"/>
    </row>
    <row r="8" spans="1:4" x14ac:dyDescent="0.25">
      <c r="A8" s="18">
        <v>7</v>
      </c>
      <c r="B8" s="20"/>
      <c r="C8" s="20"/>
      <c r="D8" s="20"/>
    </row>
    <row r="9" spans="1:4" x14ac:dyDescent="0.25">
      <c r="A9" s="18">
        <v>8</v>
      </c>
      <c r="B9" s="20"/>
      <c r="C9" s="20"/>
      <c r="D9" s="20"/>
    </row>
    <row r="10" spans="1:4" x14ac:dyDescent="0.25">
      <c r="A10" s="18">
        <v>9</v>
      </c>
      <c r="B10" s="20"/>
      <c r="C10" s="20"/>
      <c r="D10" s="20"/>
    </row>
    <row r="11" spans="1:4" x14ac:dyDescent="0.25">
      <c r="A11" s="18">
        <v>10</v>
      </c>
      <c r="B11" s="20"/>
      <c r="C11" s="20"/>
      <c r="D11" s="20"/>
    </row>
    <row r="12" spans="1:4" x14ac:dyDescent="0.25">
      <c r="A12" s="18">
        <v>11</v>
      </c>
      <c r="B12" s="20"/>
      <c r="C12" s="20"/>
      <c r="D12" s="20"/>
    </row>
    <row r="13" spans="1:4" x14ac:dyDescent="0.25">
      <c r="A13" s="18">
        <v>12</v>
      </c>
      <c r="B13" s="20"/>
      <c r="C13" s="20"/>
      <c r="D13" s="20"/>
    </row>
    <row r="14" spans="1:4" x14ac:dyDescent="0.25">
      <c r="A14" s="18">
        <v>13</v>
      </c>
      <c r="B14" s="20"/>
      <c r="C14" s="20"/>
      <c r="D14" s="20"/>
    </row>
    <row r="15" spans="1:4" x14ac:dyDescent="0.25">
      <c r="A15" s="18">
        <v>14</v>
      </c>
      <c r="B15" s="20"/>
      <c r="C15" s="20"/>
      <c r="D15" s="20"/>
    </row>
    <row r="16" spans="1:4" x14ac:dyDescent="0.25">
      <c r="A16" s="18">
        <v>15</v>
      </c>
      <c r="B16" s="20"/>
      <c r="C16" s="20"/>
      <c r="D16" s="20"/>
    </row>
    <row r="17" spans="1:4" x14ac:dyDescent="0.25">
      <c r="A17" s="18">
        <v>16</v>
      </c>
      <c r="B17" s="20"/>
      <c r="C17" s="20"/>
      <c r="D17" s="20"/>
    </row>
    <row r="18" spans="1:4" x14ac:dyDescent="0.25">
      <c r="A18" s="18">
        <v>17</v>
      </c>
      <c r="B18" s="20"/>
      <c r="C18" s="20"/>
      <c r="D18" s="20"/>
    </row>
    <row r="19" spans="1:4" x14ac:dyDescent="0.25">
      <c r="A19" s="18">
        <v>18</v>
      </c>
      <c r="B19" s="20"/>
      <c r="C19" s="20"/>
      <c r="D19" s="20"/>
    </row>
    <row r="20" spans="1:4" x14ac:dyDescent="0.25">
      <c r="A20" s="18">
        <v>19</v>
      </c>
      <c r="B20" s="20"/>
      <c r="C20" s="20"/>
      <c r="D20" s="20"/>
    </row>
    <row r="21" spans="1:4" x14ac:dyDescent="0.25">
      <c r="A21" s="18">
        <v>20</v>
      </c>
      <c r="B21" s="20"/>
      <c r="C21" s="20"/>
      <c r="D21" s="20"/>
    </row>
    <row r="22" spans="1:4" x14ac:dyDescent="0.25">
      <c r="A22" s="18">
        <v>21</v>
      </c>
      <c r="B22" s="20"/>
      <c r="C22" s="20"/>
      <c r="D22" s="20"/>
    </row>
    <row r="23" spans="1:4" x14ac:dyDescent="0.25">
      <c r="B23" s="9"/>
      <c r="C23" s="17"/>
      <c r="D23" s="17"/>
    </row>
    <row r="24" spans="1:4" x14ac:dyDescent="0.25">
      <c r="B24" s="9"/>
      <c r="C24" s="17"/>
      <c r="D24" s="17"/>
    </row>
    <row r="25" spans="1:4" x14ac:dyDescent="0.25">
      <c r="B25" s="9"/>
      <c r="C25" s="17"/>
      <c r="D25" s="17"/>
    </row>
    <row r="26" spans="1:4" x14ac:dyDescent="0.25">
      <c r="B26" s="9"/>
      <c r="C26" s="17"/>
      <c r="D26" s="17"/>
    </row>
    <row r="27" spans="1:4" x14ac:dyDescent="0.25">
      <c r="B27" s="9"/>
      <c r="C27" s="17"/>
      <c r="D27" s="17"/>
    </row>
    <row r="28" spans="1:4" x14ac:dyDescent="0.25">
      <c r="B28" s="9"/>
      <c r="C28" s="17"/>
      <c r="D28" s="17"/>
    </row>
    <row r="29" spans="1:4" x14ac:dyDescent="0.25">
      <c r="B29" s="9"/>
      <c r="C29" s="17"/>
      <c r="D29" s="17"/>
    </row>
    <row r="30" spans="1:4" x14ac:dyDescent="0.25">
      <c r="B30" s="9"/>
      <c r="C30" s="17"/>
      <c r="D30" s="17"/>
    </row>
    <row r="31" spans="1:4" x14ac:dyDescent="0.25">
      <c r="B31" s="9"/>
      <c r="C31" s="17"/>
      <c r="D31" s="17"/>
    </row>
    <row r="32" spans="1:4" x14ac:dyDescent="0.25">
      <c r="B32" s="9"/>
      <c r="C32" s="17"/>
      <c r="D32" s="17"/>
    </row>
    <row r="33" spans="2:4" x14ac:dyDescent="0.25">
      <c r="B33" s="9"/>
      <c r="C33" s="17"/>
      <c r="D33" s="17"/>
    </row>
    <row r="34" spans="2:4" x14ac:dyDescent="0.25">
      <c r="B34" s="9"/>
      <c r="C34" s="17"/>
      <c r="D34" s="17"/>
    </row>
    <row r="35" spans="2:4" x14ac:dyDescent="0.25">
      <c r="B35" s="9"/>
      <c r="C35" s="17"/>
      <c r="D35" s="17"/>
    </row>
    <row r="36" spans="2:4" x14ac:dyDescent="0.25">
      <c r="B36" s="9"/>
      <c r="C36" s="17"/>
      <c r="D36" s="17"/>
    </row>
    <row r="37" spans="2:4" x14ac:dyDescent="0.25">
      <c r="B37" s="9"/>
      <c r="C37" s="17"/>
      <c r="D37" s="17"/>
    </row>
    <row r="38" spans="2:4" x14ac:dyDescent="0.25">
      <c r="B38" s="9"/>
      <c r="C38" s="17"/>
      <c r="D38" s="17"/>
    </row>
    <row r="39" spans="2:4" x14ac:dyDescent="0.25">
      <c r="B39" s="9"/>
      <c r="C39" s="17"/>
      <c r="D39" s="17"/>
    </row>
    <row r="40" spans="2:4" x14ac:dyDescent="0.25">
      <c r="B40" s="9"/>
      <c r="C40" s="17"/>
      <c r="D40" s="17"/>
    </row>
    <row r="41" spans="2:4" x14ac:dyDescent="0.25">
      <c r="B41" s="9"/>
      <c r="C41" s="17"/>
      <c r="D41" s="17"/>
    </row>
    <row r="42" spans="2:4" x14ac:dyDescent="0.25">
      <c r="B42" s="9"/>
      <c r="C42" s="17"/>
      <c r="D42" s="17"/>
    </row>
    <row r="43" spans="2:4" x14ac:dyDescent="0.25">
      <c r="B43" s="9"/>
      <c r="C43" s="17"/>
      <c r="D43" s="17"/>
    </row>
    <row r="44" spans="2:4" x14ac:dyDescent="0.25">
      <c r="B44" s="9"/>
      <c r="C44" s="17"/>
      <c r="D44" s="17"/>
    </row>
    <row r="45" spans="2:4" x14ac:dyDescent="0.25">
      <c r="B45" s="9"/>
      <c r="C45" s="17"/>
      <c r="D45" s="17"/>
    </row>
    <row r="46" spans="2:4" x14ac:dyDescent="0.25">
      <c r="B46" s="9"/>
      <c r="C46" s="17"/>
      <c r="D46" s="17"/>
    </row>
    <row r="47" spans="2:4" x14ac:dyDescent="0.25">
      <c r="B47" s="9"/>
      <c r="C47" s="17"/>
      <c r="D47" s="17"/>
    </row>
    <row r="48" spans="2:4" x14ac:dyDescent="0.25">
      <c r="B48" s="9"/>
      <c r="C48" s="17"/>
      <c r="D48" s="17"/>
    </row>
    <row r="49" spans="2:4" x14ac:dyDescent="0.25">
      <c r="B49" s="9"/>
      <c r="C49" s="17"/>
      <c r="D49" s="17"/>
    </row>
    <row r="50" spans="2:4" x14ac:dyDescent="0.25">
      <c r="B50" s="9"/>
      <c r="C50" s="17"/>
      <c r="D50"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DashBrd</vt:lpstr>
      <vt:lpstr>Tracking-R1</vt:lpstr>
      <vt:lpstr>RvwrAsgnmnts</vt:lpstr>
      <vt:lpstr>MetricsPvt</vt:lpstr>
      <vt:lpstr>ReportPvt</vt:lpstr>
      <vt:lpstr>DatVal</vt:lpstr>
      <vt:lpstr>EmailDeflts</vt:lpstr>
      <vt:lpstr>LookUps</vt:lpstr>
      <vt:lpstr>DateCalc</vt:lpstr>
      <vt:lpstr>FormulaRefs</vt:lpstr>
      <vt:lpstr>FileProtect</vt:lpstr>
      <vt:lpstr>Backup Records</vt:lpstr>
      <vt:lpstr>RevTracking</vt:lpstr>
      <vt:lpstr>Changes From Hi-side</vt:lpstr>
      <vt:lpstr>EmailBodyText_DispoEmail_APRVD</vt:lpstr>
      <vt:lpstr>EmailBodyText_DispoEmail_Aprvd_UNxt</vt:lpstr>
      <vt:lpstr>EmailBodyText_DispoEmail_Aprvd_UReqd</vt:lpstr>
      <vt:lpstr>EmailBodyText_DispoEmail_RJCTDCmnts</vt:lpstr>
      <vt:lpstr>EmailBodyText_DispoEmail_Rvwd</vt:lpstr>
      <vt:lpstr>EmailBodyText_IntRvw</vt:lpstr>
      <vt:lpstr>DashBrd!Print_Area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Rapp</dc:creator>
  <cp:lastModifiedBy>DiBruno, Joseph M</cp:lastModifiedBy>
  <cp:lastPrinted>2020-05-19T20:42:00Z</cp:lastPrinted>
  <dcterms:created xsi:type="dcterms:W3CDTF">2015-06-05T18:17:20Z</dcterms:created>
  <dcterms:modified xsi:type="dcterms:W3CDTF">2021-01-29T20:56:56Z</dcterms:modified>
</cp:coreProperties>
</file>